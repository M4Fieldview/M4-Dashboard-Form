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landscapesunlimited448-my.sharepoint.com/personal/kregen_landscapesunlimited_com/Documents/Documents/2624 - Champions Retreat/04-Estimates/"/>
    </mc:Choice>
  </mc:AlternateContent>
  <xr:revisionPtr revIDLastSave="0" documentId="8_{D0388A5C-39C0-41E1-A368-6B209C8CEB2F}" xr6:coauthVersionLast="47" xr6:coauthVersionMax="47" xr10:uidLastSave="{00000000-0000-0000-0000-000000000000}"/>
  <bookViews>
    <workbookView xWindow="-110" yWindow="-110" windowWidth="19420" windowHeight="11500" xr2:uid="{826B8E9A-5070-4E86-B3A4-521015A2A5CD}"/>
  </bookViews>
  <sheets>
    <sheet name="Summary" sheetId="1" r:id="rId1"/>
    <sheet name="Practice Facilties" sheetId="3" r:id="rId2"/>
    <sheet name="Two PGs" sheetId="8" r:id="rId3"/>
    <sheet name="Re-Build Bunkers on the 27" sheetId="10" r:id="rId4"/>
  </sheets>
  <definedNames>
    <definedName name="_xlnm.Print_Area" localSheetId="1">'Practice Facilties'!$A$1:$F$91</definedName>
    <definedName name="_xlnm.Print_Area" localSheetId="3">'Re-Build Bunkers on the 27'!$A$1:$F$89</definedName>
    <definedName name="_xlnm.Print_Area" localSheetId="0">Summary!$A$1:$O$40</definedName>
    <definedName name="_xlnm.Print_Area" localSheetId="2">'Two PGs'!$A$1:$F$89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8" l="1"/>
  <c r="D75" i="8"/>
  <c r="D30" i="8"/>
  <c r="D88" i="3"/>
  <c r="D81" i="3"/>
  <c r="D82" i="3"/>
  <c r="D31" i="3"/>
  <c r="D76" i="3"/>
  <c r="D83" i="3"/>
  <c r="F83" i="3"/>
  <c r="F10" i="3"/>
  <c r="N27" i="1" l="1"/>
  <c r="N23" i="1"/>
  <c r="N21" i="1"/>
  <c r="D87" i="10"/>
  <c r="D86" i="10"/>
  <c r="F75" i="10"/>
  <c r="F76" i="10" s="1"/>
  <c r="N29" i="1" s="1"/>
  <c r="D61" i="10"/>
  <c r="F61" i="10" s="1"/>
  <c r="D38" i="10"/>
  <c r="F38" i="10" s="1"/>
  <c r="D39" i="10"/>
  <c r="F39" i="10" s="1"/>
  <c r="D8" i="10"/>
  <c r="F8" i="10" s="1"/>
  <c r="F70" i="10"/>
  <c r="F69" i="10"/>
  <c r="F68" i="10"/>
  <c r="D60" i="10"/>
  <c r="F59" i="10"/>
  <c r="F55" i="10"/>
  <c r="D55" i="10"/>
  <c r="F54" i="10"/>
  <c r="F53" i="10"/>
  <c r="D83" i="10"/>
  <c r="D84" i="10" s="1"/>
  <c r="F84" i="10" s="1"/>
  <c r="F52" i="10"/>
  <c r="D52" i="10"/>
  <c r="F48" i="10"/>
  <c r="D47" i="10"/>
  <c r="F47" i="10" s="1"/>
  <c r="F46" i="10"/>
  <c r="D80" i="10"/>
  <c r="F45" i="10"/>
  <c r="D45" i="10"/>
  <c r="D44" i="10"/>
  <c r="F44" i="10" s="1"/>
  <c r="F40" i="10"/>
  <c r="F37" i="10"/>
  <c r="F36" i="10"/>
  <c r="F30" i="10"/>
  <c r="F31" i="10" s="1"/>
  <c r="N17" i="1" s="1"/>
  <c r="F24" i="10"/>
  <c r="F23" i="10"/>
  <c r="F22" i="10"/>
  <c r="F21" i="10"/>
  <c r="F16" i="10"/>
  <c r="F15" i="10"/>
  <c r="F10" i="10"/>
  <c r="F9" i="10"/>
  <c r="F7" i="10"/>
  <c r="F6" i="10"/>
  <c r="I25" i="1"/>
  <c r="D86" i="8"/>
  <c r="D87" i="8" s="1"/>
  <c r="D69" i="8"/>
  <c r="F69" i="8" s="1"/>
  <c r="D46" i="8"/>
  <c r="D47" i="8" s="1"/>
  <c r="F47" i="8" s="1"/>
  <c r="D83" i="8"/>
  <c r="D84" i="8" s="1"/>
  <c r="F84" i="8" s="1"/>
  <c r="F75" i="8"/>
  <c r="F76" i="8" s="1"/>
  <c r="I29" i="1" s="1"/>
  <c r="F70" i="8"/>
  <c r="F68" i="8"/>
  <c r="D62" i="8"/>
  <c r="D60" i="8" s="1"/>
  <c r="F60" i="8" s="1"/>
  <c r="D61" i="8"/>
  <c r="F61" i="8" s="1"/>
  <c r="F59" i="8"/>
  <c r="D55" i="8"/>
  <c r="F55" i="8" s="1"/>
  <c r="F54" i="8"/>
  <c r="F53" i="8"/>
  <c r="F52" i="8"/>
  <c r="F48" i="8"/>
  <c r="F40" i="8"/>
  <c r="F39" i="8"/>
  <c r="F38" i="8"/>
  <c r="F37" i="8"/>
  <c r="F36" i="8"/>
  <c r="F30" i="8"/>
  <c r="F31" i="8" s="1"/>
  <c r="I17" i="1" s="1"/>
  <c r="F24" i="8"/>
  <c r="F23" i="8"/>
  <c r="F22" i="8"/>
  <c r="F21" i="8"/>
  <c r="F16" i="8"/>
  <c r="F15" i="8"/>
  <c r="F10" i="8"/>
  <c r="F9" i="8"/>
  <c r="F8" i="8"/>
  <c r="F7" i="8"/>
  <c r="F6" i="8"/>
  <c r="F5" i="8"/>
  <c r="F71" i="10" l="1"/>
  <c r="F60" i="10"/>
  <c r="F56" i="10"/>
  <c r="F49" i="10"/>
  <c r="F41" i="10"/>
  <c r="N19" i="1" s="1"/>
  <c r="F25" i="10"/>
  <c r="N15" i="1" s="1"/>
  <c r="F17" i="10"/>
  <c r="N13" i="1" s="1"/>
  <c r="F11" i="10"/>
  <c r="N11" i="1" s="1"/>
  <c r="D81" i="10"/>
  <c r="F81" i="10" s="1"/>
  <c r="D63" i="10"/>
  <c r="F63" i="10" s="1"/>
  <c r="F62" i="10"/>
  <c r="F71" i="8"/>
  <c r="I27" i="1" s="1"/>
  <c r="F62" i="8"/>
  <c r="F64" i="8" s="1"/>
  <c r="D63" i="8"/>
  <c r="F63" i="8" s="1"/>
  <c r="F56" i="8"/>
  <c r="I23" i="1" s="1"/>
  <c r="F45" i="8"/>
  <c r="F46" i="8"/>
  <c r="D80" i="8"/>
  <c r="D44" i="8"/>
  <c r="F44" i="8" s="1"/>
  <c r="F49" i="8" s="1"/>
  <c r="F41" i="8"/>
  <c r="I19" i="1" s="1"/>
  <c r="F25" i="8"/>
  <c r="I15" i="1" s="1"/>
  <c r="F17" i="8"/>
  <c r="I13" i="1" s="1"/>
  <c r="F11" i="8"/>
  <c r="I11" i="1" s="1"/>
  <c r="F49" i="3"/>
  <c r="F64" i="10" l="1"/>
  <c r="N25" i="1" s="1"/>
  <c r="F87" i="10"/>
  <c r="I21" i="1"/>
  <c r="D81" i="8"/>
  <c r="F81" i="8" s="1"/>
  <c r="F87" i="8"/>
  <c r="D45" i="3"/>
  <c r="D88" i="10" l="1"/>
  <c r="F88" i="10" s="1"/>
  <c r="F89" i="10" s="1"/>
  <c r="N31" i="1" s="1"/>
  <c r="N37" i="1" s="1"/>
  <c r="D88" i="8"/>
  <c r="F88" i="8" s="1"/>
  <c r="F89" i="8" s="1"/>
  <c r="I31" i="1" s="1"/>
  <c r="I37" i="1" s="1"/>
  <c r="D85" i="3" l="1"/>
  <c r="D89" i="3" s="1"/>
  <c r="F76" i="3"/>
  <c r="F77" i="3" s="1"/>
  <c r="D29" i="1" s="1"/>
  <c r="D53" i="3"/>
  <c r="D56" i="3"/>
  <c r="F56" i="3" s="1"/>
  <c r="D46" i="3"/>
  <c r="F46" i="3" s="1"/>
  <c r="F45" i="3"/>
  <c r="F6" i="3"/>
  <c r="F82" i="3"/>
  <c r="F71" i="3"/>
  <c r="F70" i="3"/>
  <c r="F69" i="3"/>
  <c r="D63" i="3"/>
  <c r="D64" i="3" s="1"/>
  <c r="F64" i="3" s="1"/>
  <c r="D62" i="3"/>
  <c r="F62" i="3" s="1"/>
  <c r="F60" i="3"/>
  <c r="F55" i="3"/>
  <c r="F54" i="3"/>
  <c r="D48" i="3"/>
  <c r="F48" i="3" s="1"/>
  <c r="F47" i="3"/>
  <c r="F41" i="3"/>
  <c r="F40" i="3"/>
  <c r="F39" i="3"/>
  <c r="F38" i="3"/>
  <c r="F37" i="3"/>
  <c r="F31" i="3"/>
  <c r="F25" i="3"/>
  <c r="F24" i="3"/>
  <c r="F23" i="3"/>
  <c r="F22" i="3"/>
  <c r="F17" i="3"/>
  <c r="F16" i="3"/>
  <c r="F11" i="3"/>
  <c r="F9" i="3"/>
  <c r="F8" i="3"/>
  <c r="F7" i="3"/>
  <c r="F50" i="3" l="1"/>
  <c r="D21" i="1" s="1"/>
  <c r="D86" i="3"/>
  <c r="F86" i="3" s="1"/>
  <c r="F32" i="3"/>
  <c r="D17" i="1" s="1"/>
  <c r="F26" i="3"/>
  <c r="F18" i="3"/>
  <c r="D13" i="1" s="1"/>
  <c r="F42" i="3"/>
  <c r="D19" i="1" s="1"/>
  <c r="F72" i="3"/>
  <c r="D27" i="1" s="1"/>
  <c r="D61" i="3"/>
  <c r="F61" i="3" s="1"/>
  <c r="F53" i="3"/>
  <c r="F57" i="3" s="1"/>
  <c r="D23" i="1" s="1"/>
  <c r="F12" i="3"/>
  <c r="D11" i="1" s="1"/>
  <c r="F63" i="3"/>
  <c r="F65" i="3" l="1"/>
  <c r="D25" i="1" s="1"/>
  <c r="F89" i="3"/>
  <c r="D15" i="1"/>
  <c r="D90" i="3" l="1"/>
  <c r="F90" i="3" s="1"/>
  <c r="F91" i="3" s="1"/>
  <c r="D31" i="1" s="1"/>
  <c r="D37" i="1" s="1"/>
  <c r="N41" i="1" s="1"/>
  <c r="N43" i="1" l="1"/>
  <c r="N45" i="1" s="1"/>
</calcChain>
</file>

<file path=xl/sharedStrings.xml><?xml version="1.0" encoding="utf-8"?>
<sst xmlns="http://schemas.openxmlformats.org/spreadsheetml/2006/main" count="520" uniqueCount="131">
  <si>
    <t>Total</t>
  </si>
  <si>
    <t>SECTION</t>
  </si>
  <si>
    <t>DESCRIPTION</t>
  </si>
  <si>
    <t>UNIT</t>
  </si>
  <si>
    <t>UNIT PRICE</t>
  </si>
  <si>
    <t>SUBTOTAL</t>
  </si>
  <si>
    <t>GENERAL SITE PREPARATION</t>
  </si>
  <si>
    <t>LS</t>
  </si>
  <si>
    <t>EA</t>
  </si>
  <si>
    <t>AC</t>
  </si>
  <si>
    <t>SF</t>
  </si>
  <si>
    <t>Demo of Existing Bunkers to be Replaced - Old Bunker Sand to be Harvested and Stockpiled with Greensmix and Spread for New Tees; Gravel, Liner, and Other Debris Disposed of in Bury Pits; Old Pipe to be Disposed of In Dumpsters</t>
  </si>
  <si>
    <t>Demo of Existing CONCRETE Cart Paths (Assume 4" of Concrete x 8' Width on All Paths) and Haul to Bury Pits throughout the Site, Assume at least 3 Smaller Bury Pits can be Utilized throughout the Property</t>
  </si>
  <si>
    <t>Silt Fence to Protect Golf Features During Construction and Grow In</t>
  </si>
  <si>
    <t>LF</t>
  </si>
  <si>
    <t>SUBTOTAL 1</t>
  </si>
  <si>
    <t>CY</t>
  </si>
  <si>
    <t>Architectural Cuts and Fills - Enhancements to the Golf Course That Require Moving Dirt Throughout the Golf Course - Assume Small Off Road Equipment for Hauling</t>
  </si>
  <si>
    <t>SUBTOTAL 2</t>
  </si>
  <si>
    <t>STORM DRAINAGE AND EROSION CONTROL (Construction Documents and Quantities Provided by Project Engineer)</t>
  </si>
  <si>
    <t>12" Solid Drainage Pipe and Associated Structures - ALLOWANCE</t>
  </si>
  <si>
    <t>8" Solid Drainage Pipe and Associated Structures - ALLOWANCE</t>
  </si>
  <si>
    <t>AL</t>
  </si>
  <si>
    <t>SHAPING</t>
  </si>
  <si>
    <t>SUBTOTAL 4</t>
  </si>
  <si>
    <t>GOLF COURSE DRAINAGE</t>
  </si>
  <si>
    <t>Large (&gt; 8") Pipe Storm Drainage System Will be Designed by Engineer. Golf Course Drainage Refers to All Pipes Necessary to Drain Small Golf Course Depressions in Fairways, Roughs, Out of Play Areas and Other Miscellaneous Drainage that Ties Into Storm Drainage System.</t>
  </si>
  <si>
    <t>4" HDPE Solid Pipe, w/Wire - ALLOWANCE</t>
  </si>
  <si>
    <t>6" HDPE Solid Pipe, w/Wire - ALLOWANCE</t>
  </si>
  <si>
    <t>Swale Drainage - 4” ADS N-12 (or approved equal) Slotted Drain Pipe, Stone Trench, and Wire. Trench Dimensions to be 1’ Wide by 2’ Deep. To be Installed Around Greens and Other High Traffic Areas. - ALLOWANCE</t>
  </si>
  <si>
    <t>Basins in Turf - 12" Cast Iron Grate with Perforated Riser Surrounded by Gravel and Sand. See Perforated Riser Drain Basin Detail for More Information. - ALLOWANCE</t>
  </si>
  <si>
    <t>Basins in Turf - 18" Cast Iron Grate with Perforated Riser Surrounded by Gravel and Sand. See Perforated Riser Drain Basin Detail for More Information. - ALLOWANCE</t>
  </si>
  <si>
    <t>SUBTOTAL 5</t>
  </si>
  <si>
    <t>GREEN CONSTRUCTION</t>
  </si>
  <si>
    <t>4" HDPE Perforated Pipe w/Stone, w/Wire - Sub-grade Drainage</t>
  </si>
  <si>
    <t>4" HDPE Solid Pipe w/Wire - Exit Drains from Green Sub-grade</t>
  </si>
  <si>
    <t>SUBTOTAL 6</t>
  </si>
  <si>
    <t>TEE CONSTRUCTION</t>
  </si>
  <si>
    <t>4” ADS N-12 (or approved equal) Slotted Drain Pipe, Stone Trench, and Wire. Trench Dimensions to be 1’ Wide by 2’ Deep.</t>
  </si>
  <si>
    <t>4" HDPE Solid Pipe w/Wire - Exit Drain from Tee Sub-grade - ALLOWANCE</t>
  </si>
  <si>
    <t>Laser Level All Tees</t>
  </si>
  <si>
    <t>SUBTOTAL 7</t>
  </si>
  <si>
    <t>BUNKER CONSTRUCTION</t>
  </si>
  <si>
    <t>Bunker Shaping Including Bunker Subgrade Preparation and Detailed Edging</t>
  </si>
  <si>
    <t>SUBTOTAL 8</t>
  </si>
  <si>
    <t>Basins in Cart Path - 12" Cast Iron Grate (Hinged Grate) - ALLOWANCE</t>
  </si>
  <si>
    <t>4" High Concete Roll Curb</t>
  </si>
  <si>
    <t>SUBTOTAL 9</t>
  </si>
  <si>
    <t>FINISH GRADING</t>
  </si>
  <si>
    <t>Fine Grading and Preparation of Entire Golf Course Areas for Grassing and the Planting of Turf Including but Not Limited to: Tees, Greens, Bunkers, Fairways, Roughs, Out of Play Areas, Golf Cart Path and Cart Parking tie-ins, etc. Includes Compaction of Greensmix Along with "Final Float" Work (Hand Shaping and Small Machine Shaping) and 10' Grid Grade Shooting on Green Surfaces Prior to the Planting of Greens. Includes Demonstration (Grade Shooting and Staking) of Positive Surface Drainage in Swales and Around Catch Basins.</t>
  </si>
  <si>
    <t>SUBTOTAL 10</t>
  </si>
  <si>
    <t>GRASSING</t>
  </si>
  <si>
    <t>Greens:</t>
  </si>
  <si>
    <t>Pre-Plant Spreading of Starter Fertilizer and Lime - OWNER APPLIED</t>
  </si>
  <si>
    <t>Tees:</t>
  </si>
  <si>
    <t>Fairways and Roughs:</t>
  </si>
  <si>
    <t>SUBTOTAL 11</t>
  </si>
  <si>
    <t xml:space="preserve">4" HDPE Perforated Pipe w/Stone, w/Wire - Sub-grade Drainage </t>
  </si>
  <si>
    <t>4" HDPE Solid Pipe w/Wire - Exit Drains from Bunker Sub-grade</t>
  </si>
  <si>
    <t>Erosion Control Measures Silt Fence - ALLOWANCE</t>
  </si>
  <si>
    <t>Cuts and Fills - Enhancements to the Golf Course That Require Moving Dirt Throughout the Golf Course by Utilizing On Road Trucking. Includes the Expansion of Other Various Lakes; Include All Necessary Measure for De-watering as Needed. Owner will Assist in Dewatering where applicable.</t>
  </si>
  <si>
    <t>SUMMARY</t>
  </si>
  <si>
    <t>GOLF CONSTRUCTION ITEMS</t>
  </si>
  <si>
    <t>Total(s)</t>
  </si>
  <si>
    <t xml:space="preserve">EARTHWORK </t>
  </si>
  <si>
    <t>STORM DRAINAGE AND EROSION CONTROL</t>
  </si>
  <si>
    <t xml:space="preserve">CONCRETE CART PATH AND CART PARKING </t>
  </si>
  <si>
    <t xml:space="preserve">FINISH GRADING </t>
  </si>
  <si>
    <t xml:space="preserve">GRASSING </t>
  </si>
  <si>
    <t>Demo of Existing Greens to be Replaced - Old Greensmix to be Harvested, Stockpiled, and Spread for New Tees; Gravel, and Other Debris Disposed of in Bury Pits; Old Pipe to be Disposed of In Dumpsters</t>
  </si>
  <si>
    <t>SUBTOTAL 3</t>
  </si>
  <si>
    <t>CONCRETE CART PATHS AND CART PARKING</t>
  </si>
  <si>
    <t>8' Wide Concrete Cart Path and Cart Parking at Range Tee - Concrete to be 4000 PSI with Fiber Mesh (Engineer to Provide Specification)</t>
  </si>
  <si>
    <t xml:space="preserve"> Preliminary Bill of Quantities</t>
  </si>
  <si>
    <t>Roto - tilling of All Areas to be Regrassed; Owner to Spray Out all Areas to be Re-grassed. After Spraying but Prior to Work Commencing; An Aggressive Tilling Procedure Must Completed by Bomag Wherever Possible to Completely Destroy all Plant Material and Leave a Dirt Condition. Where Bomag is not Feasible, Utilize Typical Roto-till Equipment.</t>
  </si>
  <si>
    <r>
      <t xml:space="preserve">4" Gravel Layer - </t>
    </r>
    <r>
      <rPr>
        <b/>
        <u/>
        <sz val="11"/>
        <color theme="1"/>
        <rFont val="Calibri"/>
        <family val="2"/>
        <scheme val="minor"/>
      </rPr>
      <t>Granite Gravel</t>
    </r>
    <r>
      <rPr>
        <sz val="11"/>
        <color theme="1"/>
        <rFont val="Calibri"/>
        <family val="2"/>
        <scheme val="minor"/>
      </rPr>
      <t xml:space="preserve"> to Meet USGA Specifications </t>
    </r>
  </si>
  <si>
    <t xml:space="preserve">12" 85/15 Compacted Greens Mix - Sand to Meet USGA Specifications </t>
  </si>
  <si>
    <t xml:space="preserve">BUNKER CONSTRUCTION </t>
  </si>
  <si>
    <t>Sprig Greens with TifEagle Bermuda - (40 bushels / 1,000 s.f.)</t>
  </si>
  <si>
    <t>ESTIMATED QUANTITIES</t>
  </si>
  <si>
    <t>Demo Existing Storm Pipe and Dispose of Materials in Dumpsters at Golf Maintenance</t>
  </si>
  <si>
    <t>Champions Retreat Golf Club - Summary Page for 2026 Projects</t>
  </si>
  <si>
    <t xml:space="preserve">Other Costs / Items to Consider: Soft Costs and Landscaping </t>
  </si>
  <si>
    <t>IRRIGATION "ALLOWANCE"</t>
  </si>
  <si>
    <t>Two Large Putting Greens</t>
  </si>
  <si>
    <t>Re-Build Bunkers (all 27 holes)</t>
  </si>
  <si>
    <t>Mobilization, Supervision, General Conditions, As-Builts, and Housing</t>
  </si>
  <si>
    <t>Completely Shape All Disturbed Areas within Golf Course Envelope Including, but Not Limited to: Tees, Greens, Bunkers, Fairways, Roughs, Out of Play Areas, and Cart Paths/Maintenance Trail.</t>
  </si>
  <si>
    <t xml:space="preserve">Shaping - Includes ALL disturbed areas generally described as Green Complexes, new Bunkers, re-shaping of Tees, Cart Paths and Cart Parking </t>
  </si>
  <si>
    <t>30 mil Plastic Liner w/Wire Around Perimeter of Green Sub-grade</t>
  </si>
  <si>
    <t>Haul and Place 6" of Harvested Green and Bunker Sand (assumes all and or some bunkers on the 3 courses are being renovated at same time)</t>
  </si>
  <si>
    <r>
      <t xml:space="preserve">TEE CONSTRUCTION - </t>
    </r>
    <r>
      <rPr>
        <u/>
        <sz val="11"/>
        <color theme="1"/>
        <rFont val="Calibri"/>
        <family val="2"/>
        <scheme val="minor"/>
      </rPr>
      <t>Enlarge tees at both ends of the range</t>
    </r>
  </si>
  <si>
    <t>2" Capillary Concrete Layer (see spec. book for additional information)</t>
  </si>
  <si>
    <t>Purchase and Installation of 4" Compacted "G-Angle" Bunker Sand (Assume 6" Sand in Bottom and 2.5" Sand on Face Averages to +/-4" In Bunker)</t>
  </si>
  <si>
    <t>Fine Grading and Preparation for Grass, Bunker Sand, and Concrete in All Shaped Disturbed Areas</t>
  </si>
  <si>
    <t>Sprig with Tahoma 31 Bermuda - (800 bushels / acre)</t>
  </si>
  <si>
    <t>Practice Facilities (Practice Range and Short Game Area)</t>
  </si>
  <si>
    <r>
      <rPr>
        <b/>
        <u/>
        <sz val="16"/>
        <color theme="1"/>
        <rFont val="Calibri"/>
        <family val="2"/>
        <scheme val="minor"/>
      </rPr>
      <t>Practice Facilities</t>
    </r>
    <r>
      <rPr>
        <b/>
        <u/>
        <sz val="22"/>
        <color theme="1"/>
        <rFont val="Calibri"/>
        <family val="2"/>
        <scheme val="minor"/>
      </rPr>
      <t xml:space="preserve"> </t>
    </r>
    <r>
      <rPr>
        <b/>
        <u/>
        <sz val="14"/>
        <color theme="1"/>
        <rFont val="Calibri"/>
        <family val="2"/>
        <scheme val="minor"/>
      </rPr>
      <t>(Practice Range and Short Game Area)</t>
    </r>
  </si>
  <si>
    <t>TREE WORK "ALLOWANCE"</t>
  </si>
  <si>
    <t>8' Wide Concrete Cart Path for connection near Nicklaus Hole #1 - Concrete to be 4000 PSI with Fiber Mesh (Engineer to Provide Specification)</t>
  </si>
  <si>
    <t>8' Wide Concrete Cart Path and Cart Parking at Warm Up Putting Green - Concrete to be 4000 PSI with Fiber Mesh (Engineer to Provide Specification)</t>
  </si>
  <si>
    <t>Shaping - Includes ALL disturbed areas generally described as Green Complexes and surrounding turf areas, Cart Paths and Cart Parking</t>
  </si>
  <si>
    <t>Re-Build all Bunkers on the 27 Holes</t>
  </si>
  <si>
    <t xml:space="preserve">Shaping - Includes ALL disturbed areas generally described as adjacent Turf Areas to existing bunkers. Goal of shaping these areas is to divert water away from bunkers and into Catch Basins or Forest Areas </t>
  </si>
  <si>
    <t>Completely Shape All Disturbed Areas within the "limits of disturbance. Bunker Shaping in line item 8.1</t>
  </si>
  <si>
    <t>Sprig Tees with Tahoma 31 Bermuda - (800 bushels / acre)</t>
  </si>
  <si>
    <t>Sod - Purchase and Install - 419 Bermuda (100% Sod)</t>
  </si>
  <si>
    <t>Sprig with 419 Bermuda - (800 bushels / acre)</t>
  </si>
  <si>
    <r>
      <t xml:space="preserve">GREEN CONSTRUCTION </t>
    </r>
    <r>
      <rPr>
        <u/>
        <sz val="11"/>
        <color theme="1"/>
        <rFont val="Calibri"/>
        <family val="2"/>
        <scheme val="minor"/>
      </rPr>
      <t>(U.S.G.A.) - Two Short Game Area Greens at +/- 5,000 s.f. each and Re-build Player Putting Green at +/- 3,000 s.f.</t>
    </r>
  </si>
  <si>
    <r>
      <t xml:space="preserve">GREEN CONSTRUCTION </t>
    </r>
    <r>
      <rPr>
        <u/>
        <sz val="11"/>
        <color theme="1"/>
        <rFont val="Calibri"/>
        <family val="2"/>
        <scheme val="minor"/>
      </rPr>
      <t>(U.S.G.A.)</t>
    </r>
    <r>
      <rPr>
        <b/>
        <u/>
        <sz val="11"/>
        <color theme="1"/>
        <rFont val="Calibri"/>
        <family val="2"/>
        <scheme val="minor"/>
      </rPr>
      <t xml:space="preserve"> </t>
    </r>
    <r>
      <rPr>
        <u/>
        <sz val="11"/>
        <color theme="1"/>
        <rFont val="Calibri"/>
        <family val="2"/>
        <scheme val="minor"/>
      </rPr>
      <t xml:space="preserve">- Two Putting Greens at +/- 15,000 s.f. each </t>
    </r>
  </si>
  <si>
    <r>
      <t xml:space="preserve">GREEN CONSTRUCTION </t>
    </r>
    <r>
      <rPr>
        <u/>
        <sz val="11"/>
        <color theme="1"/>
        <rFont val="Calibri"/>
        <family val="2"/>
        <scheme val="minor"/>
      </rPr>
      <t>(U.S.G.A.)</t>
    </r>
    <r>
      <rPr>
        <b/>
        <u/>
        <sz val="11"/>
        <color theme="1"/>
        <rFont val="Calibri"/>
        <family val="2"/>
        <scheme val="minor"/>
      </rPr>
      <t xml:space="preserve"> </t>
    </r>
  </si>
  <si>
    <t>Two Large Putting Greens and Event Lawn</t>
  </si>
  <si>
    <t>Demo of Existing Greens to be Replaced - Old Greensmix to be Harvested, Stockpiled, and Spread for New Target Greens; Gravel, and Other Debris Disposed of in Bury Pits; Old Pipe to be Disposed of In Dumpsters</t>
  </si>
  <si>
    <t>Demo of Existing Bunkers to be Replaced - Old Bunker Sand to be Harvested and Stockpiled and Spread for New Green Surrounds and Fairway area in Body of Range; Gravel, Liner, and Other Debris Disposed of in Bury Pits; Old Pipe to be Disposed of In Dumpsters</t>
  </si>
  <si>
    <t>Haul and Place 9" of Harvested Tee Mix (assumes all and or some bunkers on the 3 courses are being renovated at same time if extra sand is needed)</t>
  </si>
  <si>
    <t>Demo of Existing Practice Tee(s) to be Replaced - Old Sand to be Harvested (assume 9 inches can be harvested) and Stockpiled and Spread for new Practice Tees; Gravel, Liner, and Other Debris Disposed of in Bury Pits; Old Pipe to be Disposed of In Dumpsters</t>
  </si>
  <si>
    <t>Sod - Purchase and Install - Bermuda 419</t>
  </si>
  <si>
    <t>Sod - Purchase and Install - Bermuda 419 (40% Sod and 60% Sprigs)</t>
  </si>
  <si>
    <t>Sprig with Bermuda 419 - (800 bushels / acre)</t>
  </si>
  <si>
    <t>Sprig USGA Greens with TifEagle Bermuda - (40 bushels / 1,000 s.f.)</t>
  </si>
  <si>
    <t>Sprig Target Greens with TifEagle Bermuda - (40 bushels / 1,000 s.f.)</t>
  </si>
  <si>
    <t>Bunker Solutions Product</t>
  </si>
  <si>
    <t>EVENT LAWN</t>
  </si>
  <si>
    <t>Demo of Existing Bunkers to be Replaced - Old Bunker Sand to be Harvested and Stockpiled at Golf Maintenance (for screening by Owners); Gravel, Liner, and Other Debris Disposed of in Bury Pits; Old Pipe to be Disposed of In Dumpsters</t>
  </si>
  <si>
    <t>Total of Three Projects</t>
  </si>
  <si>
    <t>Contingency @ 10%</t>
  </si>
  <si>
    <t>Total with Contingency</t>
  </si>
  <si>
    <t>replace tahoma with 419 sod</t>
  </si>
  <si>
    <t>8/15/2025 (updated on 2-19-26)</t>
  </si>
  <si>
    <t>by owner</t>
  </si>
  <si>
    <t>TREE WORK "ALLOWANCE" by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</si>
</sst>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quot;$&quot;#,##0.00"/>
    <numFmt numFmtId="165" formatCode="#,##0.0"/>
  </numFmts>
  <fonts count="21" x14ac:knownFonts="1">
    <font>
      <sz val="11"/>
      <color theme="1"/>
      <name val="Calibri"/>
      <family val="2"/>
      <scheme val="minor"/>
    </font>
    <font>
      <b/>
      <sz val="11"/>
      <color theme="1"/>
      <name val="Calibri"/>
      <family val="2"/>
      <scheme val="minor"/>
    </font>
    <font>
      <b/>
      <u/>
      <sz val="11"/>
      <color theme="1"/>
      <name val="Calibri"/>
      <family val="2"/>
      <scheme val="minor"/>
    </font>
    <font>
      <b/>
      <u/>
      <sz val="16"/>
      <color theme="1"/>
      <name val="Calibri"/>
      <family val="2"/>
      <scheme val="minor"/>
    </font>
    <font>
      <sz val="11"/>
      <color theme="1"/>
      <name val="Calibri"/>
      <family val="2"/>
      <scheme val="minor"/>
    </font>
    <font>
      <sz val="11"/>
      <name val="Calibri"/>
      <family val="2"/>
      <scheme val="minor"/>
    </font>
    <font>
      <b/>
      <sz val="14"/>
      <color theme="1"/>
      <name val="Calibri"/>
      <family val="2"/>
      <scheme val="minor"/>
    </font>
    <font>
      <b/>
      <sz val="14"/>
      <name val="Calibri"/>
      <family val="2"/>
    </font>
    <font>
      <b/>
      <sz val="12"/>
      <name val="Calibri"/>
      <family val="2"/>
    </font>
    <font>
      <b/>
      <sz val="10"/>
      <name val="Calibri"/>
      <family val="2"/>
    </font>
    <font>
      <b/>
      <u/>
      <sz val="10"/>
      <name val="Calibri"/>
      <family val="2"/>
    </font>
    <font>
      <sz val="10"/>
      <name val="Calibri"/>
      <family val="2"/>
    </font>
    <font>
      <sz val="11"/>
      <name val="Calibri"/>
      <family val="2"/>
    </font>
    <font>
      <b/>
      <sz val="11"/>
      <name val="Calibri"/>
      <family val="2"/>
    </font>
    <font>
      <b/>
      <u/>
      <sz val="22"/>
      <color theme="1"/>
      <name val="Calibri"/>
      <family val="2"/>
      <scheme val="minor"/>
    </font>
    <font>
      <b/>
      <sz val="22"/>
      <color theme="1"/>
      <name val="Calibri"/>
      <family val="2"/>
      <scheme val="minor"/>
    </font>
    <font>
      <b/>
      <u/>
      <sz val="14"/>
      <color theme="1"/>
      <name val="Calibri"/>
      <family val="2"/>
      <scheme val="minor"/>
    </font>
    <font>
      <sz val="14"/>
      <color theme="1"/>
      <name val="Calibri"/>
      <family val="2"/>
      <scheme val="minor"/>
    </font>
    <font>
      <sz val="14"/>
      <color rgb="FFFF0000"/>
      <name val="Calibri"/>
      <family val="2"/>
      <scheme val="minor"/>
    </font>
    <font>
      <b/>
      <sz val="11"/>
      <name val="Calibri"/>
      <family val="2"/>
      <scheme val="minor"/>
    </font>
    <font>
      <u/>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2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thin">
        <color indexed="64"/>
      </bottom>
      <diagonal/>
    </border>
    <border>
      <left/>
      <right style="medium">
        <color indexed="64"/>
      </right>
      <top/>
      <bottom/>
      <diagonal/>
    </border>
    <border>
      <left style="medium">
        <color indexed="64"/>
      </left>
      <right/>
      <top/>
      <bottom style="thin">
        <color indexed="64"/>
      </bottom>
      <diagonal/>
    </border>
    <border>
      <left/>
      <right/>
      <top/>
      <bottom style="medium">
        <color indexed="64"/>
      </bottom>
      <diagonal/>
    </border>
    <border>
      <left/>
      <right/>
      <top style="thin">
        <color indexed="64"/>
      </top>
      <bottom/>
      <diagonal/>
    </border>
    <border>
      <left/>
      <right/>
      <top/>
      <bottom style="double">
        <color auto="1"/>
      </bottom>
      <diagonal/>
    </border>
  </borders>
  <cellStyleXfs count="3">
    <xf numFmtId="0" fontId="0" fillId="0" borderId="0"/>
    <xf numFmtId="0" fontId="4" fillId="0" borderId="0"/>
    <xf numFmtId="44" fontId="4" fillId="0" borderId="0" applyFont="0" applyFill="0" applyBorder="0" applyAlignment="0" applyProtection="0"/>
  </cellStyleXfs>
  <cellXfs count="117">
    <xf numFmtId="0" fontId="0" fillId="0" borderId="0" xfId="0"/>
    <xf numFmtId="164" fontId="0" fillId="0" borderId="0" xfId="0" applyNumberFormat="1"/>
    <xf numFmtId="0" fontId="1" fillId="0" borderId="0" xfId="0" applyFont="1"/>
    <xf numFmtId="0" fontId="1" fillId="0" borderId="0" xfId="0" applyFont="1" applyAlignment="1">
      <alignment horizontal="center" wrapText="1"/>
    </xf>
    <xf numFmtId="0" fontId="1" fillId="0" borderId="0" xfId="0" applyFont="1" applyAlignment="1">
      <alignment horizontal="right"/>
    </xf>
    <xf numFmtId="0" fontId="0" fillId="0" borderId="0" xfId="0" applyAlignment="1">
      <alignment horizontal="center"/>
    </xf>
    <xf numFmtId="0" fontId="2" fillId="0" borderId="0" xfId="0" applyFont="1" applyAlignment="1">
      <alignment horizontal="center"/>
    </xf>
    <xf numFmtId="0" fontId="1" fillId="0" borderId="0" xfId="0" applyFont="1"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0" xfId="0" applyAlignment="1">
      <alignment horizontal="left" vertical="top" wrapText="1"/>
    </xf>
    <xf numFmtId="0" fontId="2" fillId="0" borderId="0" xfId="0" applyFont="1" applyAlignment="1">
      <alignment horizontal="left" vertical="top" wrapText="1"/>
    </xf>
    <xf numFmtId="0" fontId="0" fillId="0" borderId="0" xfId="0" applyAlignment="1">
      <alignment horizontal="center" vertical="top" wrapTex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2" borderId="0" xfId="0" applyFill="1"/>
    <xf numFmtId="8" fontId="0" fillId="0" borderId="0" xfId="0" applyNumberFormat="1"/>
    <xf numFmtId="0" fontId="0" fillId="0" borderId="4" xfId="0" applyBorder="1" applyAlignment="1">
      <alignment horizontal="left" vertical="top" wrapText="1"/>
    </xf>
    <xf numFmtId="0" fontId="0" fillId="0" borderId="5" xfId="0" applyBorder="1" applyAlignment="1">
      <alignment horizontal="left" vertical="top" wrapText="1"/>
    </xf>
    <xf numFmtId="8" fontId="0" fillId="0" borderId="4" xfId="0" applyNumberFormat="1" applyBorder="1" applyAlignment="1">
      <alignment horizontal="left" vertical="top" wrapText="1"/>
    </xf>
    <xf numFmtId="8" fontId="0" fillId="0" borderId="5" xfId="0" applyNumberFormat="1" applyBorder="1" applyAlignment="1">
      <alignment horizontal="left" vertical="top" wrapText="1"/>
    </xf>
    <xf numFmtId="0" fontId="1" fillId="0" borderId="12" xfId="0" applyFont="1" applyBorder="1" applyAlignment="1">
      <alignment horizontal="left" vertical="top" wrapText="1"/>
    </xf>
    <xf numFmtId="8" fontId="1" fillId="0" borderId="11" xfId="0" applyNumberFormat="1" applyFont="1" applyBorder="1" applyAlignment="1">
      <alignment horizontal="left" vertical="top" wrapText="1"/>
    </xf>
    <xf numFmtId="0" fontId="1" fillId="0" borderId="12" xfId="0" applyFont="1" applyBorder="1" applyAlignment="1">
      <alignment vertical="center" wrapText="1"/>
    </xf>
    <xf numFmtId="8" fontId="1" fillId="0" borderId="3" xfId="0" applyNumberFormat="1" applyFont="1" applyBorder="1" applyAlignment="1">
      <alignment horizontal="left" vertical="top" wrapText="1"/>
    </xf>
    <xf numFmtId="0" fontId="1" fillId="0" borderId="3" xfId="0" applyFont="1" applyBorder="1" applyAlignment="1">
      <alignment horizontal="center" vertical="center" wrapText="1"/>
    </xf>
    <xf numFmtId="0" fontId="1" fillId="0" borderId="1" xfId="0" applyFont="1" applyBorder="1" applyAlignment="1">
      <alignment horizontal="left" vertical="top" wrapText="1"/>
    </xf>
    <xf numFmtId="0" fontId="1" fillId="0" borderId="6" xfId="0" applyFont="1" applyBorder="1" applyAlignment="1">
      <alignment horizontal="left" vertical="top" wrapText="1"/>
    </xf>
    <xf numFmtId="8" fontId="1" fillId="0" borderId="7" xfId="0" applyNumberFormat="1" applyFont="1" applyBorder="1" applyAlignment="1">
      <alignment horizontal="left" vertical="top" wrapText="1"/>
    </xf>
    <xf numFmtId="0" fontId="1" fillId="0" borderId="3" xfId="0" applyFont="1" applyBorder="1" applyAlignment="1">
      <alignment horizontal="center" vertical="top" wrapText="1"/>
    </xf>
    <xf numFmtId="0" fontId="0" fillId="0" borderId="0" xfId="0" applyAlignment="1">
      <alignment horizontal="center" vertical="center" wrapText="1"/>
    </xf>
    <xf numFmtId="0" fontId="10" fillId="0" borderId="14" xfId="0" applyFont="1" applyBorder="1" applyAlignment="1">
      <alignment horizontal="center"/>
    </xf>
    <xf numFmtId="0" fontId="11" fillId="0" borderId="14" xfId="0" applyFont="1" applyBorder="1" applyAlignment="1">
      <alignment horizontal="center"/>
    </xf>
    <xf numFmtId="0" fontId="9" fillId="0" borderId="14" xfId="0" applyFont="1" applyBorder="1" applyAlignment="1">
      <alignment horizontal="center"/>
    </xf>
    <xf numFmtId="0" fontId="11" fillId="0" borderId="0" xfId="0" applyFont="1"/>
    <xf numFmtId="44" fontId="12" fillId="0" borderId="16" xfId="2" applyFont="1" applyBorder="1"/>
    <xf numFmtId="0" fontId="13" fillId="0" borderId="16" xfId="0" applyFont="1" applyBorder="1" applyAlignment="1">
      <alignment horizontal="center"/>
    </xf>
    <xf numFmtId="44" fontId="8" fillId="0" borderId="16" xfId="2" applyFont="1" applyBorder="1"/>
    <xf numFmtId="0" fontId="10" fillId="0" borderId="0" xfId="0" applyFont="1" applyAlignment="1">
      <alignment horizontal="center"/>
    </xf>
    <xf numFmtId="0" fontId="13" fillId="0" borderId="0" xfId="0" applyFont="1"/>
    <xf numFmtId="0" fontId="12" fillId="0" borderId="0" xfId="0" applyFont="1"/>
    <xf numFmtId="0" fontId="0" fillId="0" borderId="9" xfId="0" applyBorder="1"/>
    <xf numFmtId="0" fontId="0" fillId="0" borderId="10" xfId="0" applyBorder="1"/>
    <xf numFmtId="44" fontId="6" fillId="0" borderId="13" xfId="0" applyNumberFormat="1" applyFont="1" applyBorder="1"/>
    <xf numFmtId="0" fontId="11" fillId="0" borderId="17" xfId="0" applyFont="1" applyBorder="1" applyAlignment="1">
      <alignment horizontal="center"/>
    </xf>
    <xf numFmtId="0" fontId="13" fillId="0" borderId="8" xfId="0" applyFont="1" applyBorder="1"/>
    <xf numFmtId="0" fontId="11" fillId="0" borderId="8" xfId="0" applyFont="1" applyBorder="1"/>
    <xf numFmtId="0" fontId="13" fillId="0" borderId="15" xfId="0" applyFont="1" applyBorder="1" applyAlignment="1">
      <alignment horizontal="center"/>
    </xf>
    <xf numFmtId="0" fontId="12" fillId="0" borderId="8" xfId="0" applyFont="1" applyBorder="1"/>
    <xf numFmtId="0" fontId="0" fillId="0" borderId="8" xfId="0" applyBorder="1"/>
    <xf numFmtId="0" fontId="9" fillId="0" borderId="17" xfId="0" applyFont="1" applyBorder="1" applyAlignment="1">
      <alignment horizontal="center"/>
    </xf>
    <xf numFmtId="0" fontId="7" fillId="0" borderId="16" xfId="0" applyFont="1" applyBorder="1" applyAlignment="1">
      <alignment horizontal="center"/>
    </xf>
    <xf numFmtId="8" fontId="12" fillId="0" borderId="15" xfId="2" applyNumberFormat="1" applyFont="1" applyBorder="1"/>
    <xf numFmtId="8" fontId="8" fillId="0" borderId="13" xfId="2" applyNumberFormat="1" applyFont="1" applyBorder="1"/>
    <xf numFmtId="0" fontId="1" fillId="0" borderId="4" xfId="0" applyFont="1" applyBorder="1" applyAlignment="1">
      <alignment vertical="center" wrapText="1"/>
    </xf>
    <xf numFmtId="8" fontId="1" fillId="0" borderId="5" xfId="0" applyNumberFormat="1" applyFont="1" applyBorder="1" applyAlignment="1">
      <alignment horizontal="left" vertical="top" wrapText="1"/>
    </xf>
    <xf numFmtId="0" fontId="1" fillId="0" borderId="4" xfId="0" applyFont="1" applyBorder="1" applyAlignment="1">
      <alignment horizontal="left" vertical="top" wrapText="1"/>
    </xf>
    <xf numFmtId="0" fontId="1" fillId="0" borderId="0" xfId="0" applyFont="1" applyAlignment="1">
      <alignment horizontal="center" vertical="center" wrapText="1"/>
    </xf>
    <xf numFmtId="0" fontId="1" fillId="0" borderId="19" xfId="0" applyFont="1" applyBorder="1" applyAlignment="1">
      <alignment horizontal="left" vertical="top" wrapText="1"/>
    </xf>
    <xf numFmtId="0" fontId="0" fillId="0" borderId="19" xfId="0" applyBorder="1" applyAlignment="1">
      <alignment vertical="top" wrapText="1"/>
    </xf>
    <xf numFmtId="0" fontId="19" fillId="0" borderId="0" xfId="0" applyFont="1" applyAlignment="1">
      <alignment horizontal="left" vertical="top" wrapText="1"/>
    </xf>
    <xf numFmtId="0" fontId="5" fillId="0" borderId="0" xfId="0" applyFont="1" applyAlignment="1">
      <alignment horizontal="center" vertical="center" wrapText="1"/>
    </xf>
    <xf numFmtId="0" fontId="5" fillId="0" borderId="0" xfId="0" applyFont="1" applyAlignment="1">
      <alignment vertical="center" wrapText="1"/>
    </xf>
    <xf numFmtId="8" fontId="0" fillId="0" borderId="5" xfId="0" applyNumberFormat="1" applyBorder="1" applyAlignment="1">
      <alignment horizontal="center" vertical="center" wrapText="1"/>
    </xf>
    <xf numFmtId="8" fontId="0" fillId="0" borderId="4" xfId="0" applyNumberFormat="1" applyBorder="1" applyAlignment="1">
      <alignment horizontal="center" vertical="center" wrapText="1"/>
    </xf>
    <xf numFmtId="165" fontId="2" fillId="0" borderId="0" xfId="0" applyNumberFormat="1" applyFont="1" applyAlignment="1">
      <alignment horizontal="center" vertical="top"/>
    </xf>
    <xf numFmtId="165" fontId="1" fillId="0" borderId="3" xfId="0" applyNumberFormat="1" applyFont="1" applyBorder="1" applyAlignment="1">
      <alignment horizontal="center" vertical="center" wrapText="1"/>
    </xf>
    <xf numFmtId="165" fontId="0" fillId="0" borderId="0" xfId="0" applyNumberFormat="1" applyAlignment="1">
      <alignment horizontal="center" vertical="top" wrapText="1"/>
    </xf>
    <xf numFmtId="165" fontId="5" fillId="0" borderId="0" xfId="0" applyNumberFormat="1" applyFont="1" applyAlignment="1">
      <alignment horizontal="center" vertical="top" wrapText="1"/>
    </xf>
    <xf numFmtId="165" fontId="0" fillId="0" borderId="7" xfId="0" applyNumberFormat="1" applyBorder="1" applyAlignment="1">
      <alignment vertical="top" wrapText="1"/>
    </xf>
    <xf numFmtId="165" fontId="0" fillId="0" borderId="5" xfId="0" applyNumberFormat="1" applyBorder="1" applyAlignment="1">
      <alignment horizontal="left" vertical="top" wrapText="1"/>
    </xf>
    <xf numFmtId="165" fontId="5" fillId="0" borderId="0" xfId="0" applyNumberFormat="1" applyFont="1" applyAlignment="1">
      <alignment horizontal="center" vertical="center" wrapText="1"/>
    </xf>
    <xf numFmtId="165" fontId="5" fillId="0" borderId="0" xfId="0" applyNumberFormat="1" applyFont="1" applyAlignment="1">
      <alignment horizontal="right" vertical="top" wrapText="1"/>
    </xf>
    <xf numFmtId="165" fontId="0" fillId="0" borderId="0" xfId="0" applyNumberFormat="1" applyAlignment="1">
      <alignment horizontal="center" vertical="top"/>
    </xf>
    <xf numFmtId="8" fontId="12" fillId="0" borderId="16" xfId="2" applyNumberFormat="1" applyFont="1" applyBorder="1"/>
    <xf numFmtId="0" fontId="5" fillId="0" borderId="0" xfId="0" applyFont="1" applyAlignment="1">
      <alignment wrapText="1"/>
    </xf>
    <xf numFmtId="0" fontId="5" fillId="0" borderId="0" xfId="0" applyFont="1" applyAlignment="1">
      <alignment horizontal="center" wrapText="1"/>
    </xf>
    <xf numFmtId="164" fontId="5" fillId="0" borderId="0" xfId="0" applyNumberFormat="1" applyFont="1" applyAlignment="1">
      <alignment horizontal="center" wrapText="1"/>
    </xf>
    <xf numFmtId="165" fontId="5" fillId="0" borderId="5" xfId="0" applyNumberFormat="1" applyFont="1" applyBorder="1" applyAlignment="1">
      <alignment horizontal="right" vertical="top" wrapText="1"/>
    </xf>
    <xf numFmtId="0" fontId="0" fillId="3" borderId="0" xfId="0" applyFill="1" applyAlignment="1">
      <alignment horizontal="center" vertical="center" wrapText="1"/>
    </xf>
    <xf numFmtId="0" fontId="0" fillId="3" borderId="0" xfId="0" applyFill="1" applyAlignment="1">
      <alignment horizontal="left" vertical="top" wrapText="1"/>
    </xf>
    <xf numFmtId="0" fontId="0" fillId="3" borderId="0" xfId="0" applyFill="1" applyAlignment="1">
      <alignment horizontal="center" vertical="top" wrapText="1"/>
    </xf>
    <xf numFmtId="165" fontId="5" fillId="3" borderId="0" xfId="0" applyNumberFormat="1" applyFont="1" applyFill="1" applyAlignment="1">
      <alignment horizontal="right" vertical="top" wrapText="1"/>
    </xf>
    <xf numFmtId="8" fontId="0" fillId="3" borderId="4" xfId="0" applyNumberFormat="1" applyFill="1" applyBorder="1" applyAlignment="1">
      <alignment horizontal="left" vertical="top" wrapText="1"/>
    </xf>
    <xf numFmtId="8" fontId="0" fillId="3" borderId="5" xfId="0" applyNumberFormat="1" applyFill="1" applyBorder="1" applyAlignment="1">
      <alignment horizontal="left" vertical="top" wrapText="1"/>
    </xf>
    <xf numFmtId="165" fontId="5" fillId="3" borderId="0" xfId="0" applyNumberFormat="1" applyFont="1" applyFill="1" applyAlignment="1">
      <alignment horizontal="center" vertical="top" wrapText="1"/>
    </xf>
    <xf numFmtId="165" fontId="0" fillId="3" borderId="0" xfId="0" applyNumberFormat="1" applyFill="1" applyAlignment="1">
      <alignment horizontal="center" vertical="top" wrapText="1"/>
    </xf>
    <xf numFmtId="0" fontId="5" fillId="3" borderId="0" xfId="0" applyFont="1" applyFill="1" applyAlignment="1">
      <alignment vertical="center" wrapText="1"/>
    </xf>
    <xf numFmtId="0" fontId="5" fillId="3" borderId="0" xfId="0" applyFont="1" applyFill="1" applyAlignment="1">
      <alignment horizontal="center" vertical="center" wrapText="1"/>
    </xf>
    <xf numFmtId="165" fontId="5" fillId="3" borderId="0" xfId="0" applyNumberFormat="1" applyFont="1" applyFill="1" applyAlignment="1">
      <alignment horizontal="center" vertical="center" wrapText="1"/>
    </xf>
    <xf numFmtId="8" fontId="0" fillId="3" borderId="4" xfId="0" applyNumberFormat="1" applyFill="1" applyBorder="1" applyAlignment="1">
      <alignment horizontal="center" vertical="center" wrapText="1"/>
    </xf>
    <xf numFmtId="8" fontId="0" fillId="3" borderId="5" xfId="0" applyNumberFormat="1" applyFill="1" applyBorder="1" applyAlignment="1">
      <alignment horizontal="center" vertical="center" wrapText="1"/>
    </xf>
    <xf numFmtId="0" fontId="1" fillId="3" borderId="0" xfId="0" applyFont="1" applyFill="1" applyAlignment="1">
      <alignment horizontal="center" vertical="center" wrapText="1"/>
    </xf>
    <xf numFmtId="0" fontId="2" fillId="3" borderId="0" xfId="0" applyFont="1" applyFill="1" applyAlignment="1">
      <alignment horizontal="left" vertical="top" wrapText="1"/>
    </xf>
    <xf numFmtId="0" fontId="0" fillId="3" borderId="4" xfId="0" applyFill="1" applyBorder="1" applyAlignment="1">
      <alignment horizontal="left" vertical="top" wrapText="1"/>
    </xf>
    <xf numFmtId="0" fontId="0" fillId="3" borderId="5" xfId="0" applyFill="1" applyBorder="1" applyAlignment="1">
      <alignment horizontal="left" vertical="top" wrapText="1"/>
    </xf>
    <xf numFmtId="0" fontId="1" fillId="3" borderId="1" xfId="0" applyFont="1" applyFill="1" applyBorder="1" applyAlignment="1">
      <alignment horizontal="left" vertical="top" wrapText="1"/>
    </xf>
    <xf numFmtId="8" fontId="1" fillId="3" borderId="3" xfId="0" applyNumberFormat="1" applyFont="1" applyFill="1" applyBorder="1" applyAlignment="1">
      <alignment horizontal="left" vertical="top" wrapText="1"/>
    </xf>
    <xf numFmtId="8" fontId="8" fillId="0" borderId="20" xfId="2" applyNumberFormat="1" applyFont="1" applyBorder="1"/>
    <xf numFmtId="0" fontId="3" fillId="0" borderId="18" xfId="0" applyFont="1" applyBorder="1" applyAlignment="1">
      <alignment horizontal="center" vertical="center" wrapText="1"/>
    </xf>
    <xf numFmtId="0" fontId="0" fillId="0" borderId="18" xfId="0" applyBorder="1" applyAlignment="1">
      <alignment horizontal="center" vertical="center" wrapText="1"/>
    </xf>
    <xf numFmtId="0" fontId="8" fillId="0" borderId="9" xfId="0" applyFont="1" applyBorder="1" applyAlignment="1">
      <alignment horizontal="center"/>
    </xf>
    <xf numFmtId="0" fontId="0" fillId="0" borderId="10" xfId="0" applyBorder="1" applyAlignment="1">
      <alignment horizontal="center"/>
    </xf>
    <xf numFmtId="0" fontId="0" fillId="0" borderId="13" xfId="0" applyBorder="1" applyAlignment="1">
      <alignment horizontal="center"/>
    </xf>
    <xf numFmtId="0" fontId="15" fillId="0" borderId="0" xfId="0" applyFont="1" applyAlignment="1">
      <alignment horizontal="center" vertical="top"/>
    </xf>
    <xf numFmtId="14" fontId="17" fillId="0" borderId="0" xfId="0" applyNumberFormat="1" applyFont="1" applyAlignment="1">
      <alignment horizontal="center" vertical="top"/>
    </xf>
    <xf numFmtId="0" fontId="17" fillId="0" borderId="0" xfId="0" applyFont="1" applyAlignment="1">
      <alignment horizontal="center" vertical="top"/>
    </xf>
    <xf numFmtId="0" fontId="8" fillId="0" borderId="10" xfId="0" applyFont="1" applyBorder="1" applyAlignment="1">
      <alignment horizontal="center"/>
    </xf>
    <xf numFmtId="0" fontId="8" fillId="0" borderId="13" xfId="0" applyFont="1" applyBorder="1" applyAlignment="1">
      <alignment horizontal="center"/>
    </xf>
    <xf numFmtId="0" fontId="14" fillId="0" borderId="18" xfId="0" applyFont="1" applyBorder="1" applyAlignment="1">
      <alignment horizontal="center" vertical="center" wrapText="1"/>
    </xf>
    <xf numFmtId="14" fontId="18" fillId="0" borderId="0" xfId="0" applyNumberFormat="1" applyFont="1" applyAlignment="1">
      <alignment horizontal="center" vertical="top"/>
    </xf>
    <xf numFmtId="14" fontId="6" fillId="0" borderId="0" xfId="0" applyNumberFormat="1" applyFont="1" applyAlignment="1">
      <alignment horizontal="center" vertical="top"/>
    </xf>
    <xf numFmtId="0" fontId="3" fillId="0" borderId="0" xfId="0" applyFont="1" applyAlignment="1">
      <alignment horizontal="center"/>
    </xf>
    <xf numFmtId="0" fontId="2" fillId="0" borderId="0" xfId="0" applyFont="1" applyAlignment="1">
      <alignment horizontal="center"/>
    </xf>
    <xf numFmtId="0" fontId="0" fillId="0" borderId="0" xfId="0" applyAlignment="1">
      <alignment horizontal="left" vertical="top" wrapText="1"/>
    </xf>
    <xf numFmtId="0" fontId="0" fillId="0" borderId="0" xfId="0" applyAlignment="1">
      <alignment vertical="top" wrapText="1"/>
    </xf>
    <xf numFmtId="0" fontId="0" fillId="0" borderId="5" xfId="0" applyBorder="1" applyAlignment="1">
      <alignment vertical="top" wrapText="1"/>
    </xf>
  </cellXfs>
  <cellStyles count="3">
    <cellStyle name="Currency" xfId="2" builtinId="4"/>
    <cellStyle name="Normal" xfId="0" builtinId="0"/>
    <cellStyle name="Normal 2" xfId="1" xr:uid="{3C9E58CE-1D24-46C4-8E9F-4C8BEA65B96F}"/>
  </cellStyles>
  <dxfs count="0"/>
  <tableStyles count="0" defaultTableStyle="TableStyleMedium2" defaultPivotStyle="PivotStyleLight16"/>
  <colors>
    <mruColors>
      <color rgb="FFFF7C80"/>
      <color rgb="FFF088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76ABB-0983-4271-A2A5-8590062A36DC}">
  <sheetPr>
    <pageSetUpPr fitToPage="1"/>
  </sheetPr>
  <dimension ref="A1:N46"/>
  <sheetViews>
    <sheetView tabSelected="1" zoomScale="80" zoomScaleNormal="80" workbookViewId="0">
      <selection activeCell="L36" sqref="L36"/>
    </sheetView>
  </sheetViews>
  <sheetFormatPr defaultRowHeight="14.5" x14ac:dyDescent="0.35"/>
  <cols>
    <col min="1" max="1" width="14.7265625" style="7" customWidth="1"/>
    <col min="2" max="2" width="28.453125" customWidth="1"/>
    <col min="3" max="3" width="40.7265625" customWidth="1"/>
    <col min="4" max="4" width="17.453125" customWidth="1"/>
    <col min="5" max="5" width="2.26953125" customWidth="1"/>
    <col min="6" max="6" width="14.54296875" style="2" customWidth="1"/>
    <col min="7" max="7" width="8.54296875"/>
    <col min="8" max="8" width="54.81640625" customWidth="1"/>
    <col min="9" max="9" width="17.453125" customWidth="1"/>
    <col min="10" max="10" width="2.1796875" customWidth="1"/>
    <col min="13" max="13" width="53.81640625" customWidth="1"/>
    <col min="14" max="14" width="17.7265625" customWidth="1"/>
  </cols>
  <sheetData>
    <row r="1" spans="1:14" x14ac:dyDescent="0.35">
      <c r="A1"/>
      <c r="F1"/>
    </row>
    <row r="2" spans="1:14" ht="31.5" customHeight="1" x14ac:dyDescent="0.35">
      <c r="A2" s="104" t="s">
        <v>81</v>
      </c>
      <c r="B2" s="104"/>
      <c r="C2" s="104"/>
      <c r="D2" s="104"/>
      <c r="E2" s="104"/>
      <c r="F2" s="104"/>
      <c r="G2" s="104"/>
      <c r="H2" s="104"/>
      <c r="I2" s="104"/>
      <c r="J2" s="104"/>
    </row>
    <row r="3" spans="1:14" ht="20.149999999999999" customHeight="1" x14ac:dyDescent="0.35">
      <c r="A3" s="105" t="s">
        <v>128</v>
      </c>
      <c r="B3" s="106"/>
      <c r="C3" s="106"/>
      <c r="D3" s="106"/>
      <c r="E3" s="106"/>
      <c r="F3" s="106"/>
      <c r="G3" s="106"/>
      <c r="H3" s="106"/>
      <c r="I3" s="106"/>
      <c r="J3" s="106"/>
    </row>
    <row r="4" spans="1:14" ht="20.149999999999999" customHeight="1" x14ac:dyDescent="0.35">
      <c r="A4" s="110" t="s">
        <v>73</v>
      </c>
      <c r="B4" s="105"/>
      <c r="C4" s="105"/>
      <c r="D4" s="105"/>
      <c r="E4" s="105"/>
      <c r="F4" s="105"/>
      <c r="G4" s="105"/>
      <c r="H4" s="105"/>
      <c r="I4" s="105"/>
      <c r="J4" s="105"/>
    </row>
    <row r="5" spans="1:14" ht="20.149999999999999" customHeight="1" x14ac:dyDescent="0.35">
      <c r="A5" s="111" t="s">
        <v>82</v>
      </c>
      <c r="B5" s="110"/>
      <c r="C5" s="110"/>
      <c r="D5" s="110"/>
      <c r="E5" s="110"/>
      <c r="F5" s="110"/>
      <c r="G5" s="110"/>
      <c r="H5" s="110"/>
      <c r="I5" s="110"/>
      <c r="J5" s="110"/>
    </row>
    <row r="6" spans="1:14" s="3" customFormat="1" ht="30" customHeight="1" thickBot="1" x14ac:dyDescent="0.4">
      <c r="A6" s="109" t="s">
        <v>97</v>
      </c>
      <c r="B6" s="109"/>
      <c r="C6" s="109"/>
      <c r="D6" s="109"/>
      <c r="E6" s="30"/>
      <c r="F6" s="99" t="s">
        <v>111</v>
      </c>
      <c r="G6" s="109"/>
      <c r="H6" s="109"/>
      <c r="I6" s="109"/>
      <c r="K6" s="99" t="s">
        <v>85</v>
      </c>
      <c r="L6" s="100"/>
      <c r="M6" s="100"/>
      <c r="N6" s="100"/>
    </row>
    <row r="7" spans="1:14" ht="16.5" customHeight="1" thickBot="1" x14ac:dyDescent="0.4">
      <c r="A7" s="101" t="s">
        <v>61</v>
      </c>
      <c r="B7" s="107"/>
      <c r="C7" s="107"/>
      <c r="D7" s="108"/>
      <c r="E7" s="1"/>
      <c r="F7" s="101" t="s">
        <v>61</v>
      </c>
      <c r="G7" s="107"/>
      <c r="H7" s="107"/>
      <c r="I7" s="108"/>
      <c r="K7" s="101" t="s">
        <v>61</v>
      </c>
      <c r="L7" s="102"/>
      <c r="M7" s="102"/>
      <c r="N7" s="103"/>
    </row>
    <row r="8" spans="1:14" ht="19.5" customHeight="1" x14ac:dyDescent="0.45">
      <c r="A8" s="31"/>
      <c r="B8" s="38"/>
      <c r="C8" s="38"/>
      <c r="D8" s="51"/>
      <c r="E8" s="1"/>
      <c r="F8" s="31"/>
      <c r="G8" s="38"/>
      <c r="H8" s="38"/>
      <c r="I8" s="51"/>
      <c r="K8" s="31"/>
      <c r="L8" s="38"/>
      <c r="M8" s="38"/>
      <c r="N8" s="51"/>
    </row>
    <row r="9" spans="1:14" ht="19.5" customHeight="1" x14ac:dyDescent="0.35">
      <c r="A9" s="44"/>
      <c r="B9" s="45" t="s">
        <v>62</v>
      </c>
      <c r="C9" s="46"/>
      <c r="D9" s="47" t="s">
        <v>63</v>
      </c>
      <c r="E9" s="1"/>
      <c r="F9" s="44"/>
      <c r="G9" s="45" t="s">
        <v>62</v>
      </c>
      <c r="H9" s="46"/>
      <c r="I9" s="47" t="s">
        <v>63</v>
      </c>
      <c r="K9" s="44"/>
      <c r="L9" s="45" t="s">
        <v>62</v>
      </c>
      <c r="M9" s="46"/>
      <c r="N9" s="47" t="s">
        <v>63</v>
      </c>
    </row>
    <row r="10" spans="1:14" x14ac:dyDescent="0.35">
      <c r="A10" s="32"/>
      <c r="B10" s="39"/>
      <c r="C10" s="34"/>
      <c r="D10" s="36"/>
      <c r="E10" s="1"/>
      <c r="F10" s="32"/>
      <c r="G10" s="39"/>
      <c r="H10" s="34"/>
      <c r="I10" s="36"/>
      <c r="K10" s="32"/>
      <c r="L10" s="39"/>
      <c r="M10" s="34"/>
      <c r="N10" s="36"/>
    </row>
    <row r="11" spans="1:14" x14ac:dyDescent="0.35">
      <c r="A11" s="50">
        <v>1</v>
      </c>
      <c r="B11" s="48" t="s">
        <v>6</v>
      </c>
      <c r="C11" s="49"/>
      <c r="D11" s="52">
        <f>'Practice Facilties'!F12</f>
        <v>277386.64</v>
      </c>
      <c r="E11" s="1"/>
      <c r="F11" s="50">
        <v>1</v>
      </c>
      <c r="G11" s="48" t="s">
        <v>6</v>
      </c>
      <c r="H11" s="49"/>
      <c r="I11" s="52">
        <f>'Two PGs'!F11</f>
        <v>71610</v>
      </c>
      <c r="K11" s="50">
        <v>1</v>
      </c>
      <c r="L11" s="48" t="s">
        <v>6</v>
      </c>
      <c r="M11" s="49"/>
      <c r="N11" s="52">
        <f>'Re-Build Bunkers on the 27'!F11</f>
        <v>574705.73</v>
      </c>
    </row>
    <row r="12" spans="1:14" x14ac:dyDescent="0.35">
      <c r="A12" s="33"/>
      <c r="B12" s="40"/>
      <c r="C12" s="34"/>
      <c r="D12" s="35"/>
      <c r="F12" s="33"/>
      <c r="G12" s="40"/>
      <c r="H12" s="34"/>
      <c r="I12" s="35"/>
      <c r="K12" s="33"/>
      <c r="L12" s="40"/>
      <c r="M12" s="34"/>
      <c r="N12" s="35"/>
    </row>
    <row r="13" spans="1:14" x14ac:dyDescent="0.35">
      <c r="A13" s="50">
        <v>2</v>
      </c>
      <c r="B13" s="49" t="s">
        <v>64</v>
      </c>
      <c r="C13" s="49"/>
      <c r="D13" s="52">
        <f>'Practice Facilties'!F18</f>
        <v>28260</v>
      </c>
      <c r="F13" s="50">
        <v>2</v>
      </c>
      <c r="G13" s="49" t="s">
        <v>64</v>
      </c>
      <c r="H13" s="49"/>
      <c r="I13" s="52">
        <f>'Two PGs'!F17</f>
        <v>9280</v>
      </c>
      <c r="K13" s="50">
        <v>2</v>
      </c>
      <c r="L13" s="49" t="s">
        <v>64</v>
      </c>
      <c r="M13" s="49"/>
      <c r="N13" s="52">
        <f>'Re-Build Bunkers on the 27'!F17</f>
        <v>17115</v>
      </c>
    </row>
    <row r="14" spans="1:14" x14ac:dyDescent="0.35">
      <c r="A14" s="33"/>
      <c r="B14" s="40"/>
      <c r="C14" s="34"/>
      <c r="D14" s="35"/>
      <c r="F14" s="33"/>
      <c r="G14" s="40"/>
      <c r="H14" s="34"/>
      <c r="I14" s="35"/>
      <c r="K14" s="33"/>
      <c r="L14" s="40"/>
      <c r="M14" s="34"/>
      <c r="N14" s="35"/>
    </row>
    <row r="15" spans="1:14" x14ac:dyDescent="0.35">
      <c r="A15" s="50">
        <v>3</v>
      </c>
      <c r="B15" s="48" t="s">
        <v>65</v>
      </c>
      <c r="C15" s="49"/>
      <c r="D15" s="52">
        <f>'Practice Facilties'!F26</f>
        <v>151417.82</v>
      </c>
      <c r="F15" s="50">
        <v>3</v>
      </c>
      <c r="G15" s="48" t="s">
        <v>65</v>
      </c>
      <c r="H15" s="49"/>
      <c r="I15" s="52">
        <f>'Two PGs'!F25</f>
        <v>27561.52</v>
      </c>
      <c r="K15" s="50">
        <v>3</v>
      </c>
      <c r="L15" s="48" t="s">
        <v>65</v>
      </c>
      <c r="M15" s="49"/>
      <c r="N15" s="52">
        <f>'Re-Build Bunkers on the 27'!F25</f>
        <v>93700.35</v>
      </c>
    </row>
    <row r="16" spans="1:14" ht="18.75" customHeight="1" x14ac:dyDescent="0.35">
      <c r="A16" s="33"/>
      <c r="B16" s="40"/>
      <c r="C16" s="34"/>
      <c r="D16" s="35"/>
      <c r="F16" s="33"/>
      <c r="G16" s="40"/>
      <c r="H16" s="34"/>
      <c r="I16" s="35"/>
      <c r="K16" s="33"/>
      <c r="L16" s="40"/>
      <c r="M16" s="34"/>
      <c r="N16" s="35"/>
    </row>
    <row r="17" spans="1:14" x14ac:dyDescent="0.35">
      <c r="A17" s="50">
        <v>4</v>
      </c>
      <c r="B17" s="48" t="s">
        <v>23</v>
      </c>
      <c r="C17" s="49"/>
      <c r="D17" s="52">
        <f>'Practice Facilties'!F32</f>
        <v>74800</v>
      </c>
      <c r="F17" s="50">
        <v>4</v>
      </c>
      <c r="G17" s="48" t="s">
        <v>23</v>
      </c>
      <c r="H17" s="49"/>
      <c r="I17" s="52">
        <f>'Two PGs'!F31</f>
        <v>14000</v>
      </c>
      <c r="K17" s="50">
        <v>4</v>
      </c>
      <c r="L17" s="48" t="s">
        <v>23</v>
      </c>
      <c r="M17" s="49"/>
      <c r="N17" s="52">
        <f>'Re-Build Bunkers on the 27'!F31</f>
        <v>45500</v>
      </c>
    </row>
    <row r="18" spans="1:14" x14ac:dyDescent="0.35">
      <c r="A18" s="33"/>
      <c r="B18" s="40"/>
      <c r="C18" s="34"/>
      <c r="D18" s="35"/>
      <c r="F18" s="33"/>
      <c r="G18" s="40"/>
      <c r="H18" s="34"/>
      <c r="I18" s="35"/>
      <c r="K18" s="33"/>
      <c r="L18" s="40"/>
      <c r="M18" s="34"/>
      <c r="N18" s="35"/>
    </row>
    <row r="19" spans="1:14" x14ac:dyDescent="0.35">
      <c r="A19" s="50">
        <v>5</v>
      </c>
      <c r="B19" s="48" t="s">
        <v>25</v>
      </c>
      <c r="C19" s="49"/>
      <c r="D19" s="52">
        <f>'Practice Facilties'!F42</f>
        <v>82536.33</v>
      </c>
      <c r="F19" s="50">
        <v>5</v>
      </c>
      <c r="G19" s="48" t="s">
        <v>25</v>
      </c>
      <c r="H19" s="49"/>
      <c r="I19" s="52">
        <f>'Two PGs'!F41</f>
        <v>37784.1</v>
      </c>
      <c r="K19" s="50">
        <v>5</v>
      </c>
      <c r="L19" s="48" t="s">
        <v>25</v>
      </c>
      <c r="M19" s="49"/>
      <c r="N19" s="52">
        <f>'Re-Build Bunkers on the 27'!F41</f>
        <v>418656.23</v>
      </c>
    </row>
    <row r="20" spans="1:14" x14ac:dyDescent="0.35">
      <c r="A20" s="33"/>
      <c r="B20" s="40"/>
      <c r="C20" s="34"/>
      <c r="D20" s="35"/>
      <c r="F20" s="33"/>
      <c r="G20" s="40"/>
      <c r="H20" s="34"/>
      <c r="I20" s="35"/>
      <c r="K20" s="33"/>
      <c r="L20" s="40"/>
      <c r="M20" s="34"/>
      <c r="N20" s="35"/>
    </row>
    <row r="21" spans="1:14" x14ac:dyDescent="0.35">
      <c r="A21" s="50">
        <v>6</v>
      </c>
      <c r="B21" s="48" t="s">
        <v>33</v>
      </c>
      <c r="C21" s="49"/>
      <c r="D21" s="52">
        <f>'Practice Facilties'!F50</f>
        <v>173286</v>
      </c>
      <c r="F21" s="50">
        <v>6</v>
      </c>
      <c r="G21" s="48" t="s">
        <v>33</v>
      </c>
      <c r="H21" s="49"/>
      <c r="I21" s="52">
        <f>'Two PGs'!F49</f>
        <v>349288</v>
      </c>
      <c r="K21" s="50">
        <v>6</v>
      </c>
      <c r="L21" s="48" t="s">
        <v>33</v>
      </c>
      <c r="M21" s="49"/>
      <c r="N21" s="52">
        <f>'Re-Build Bunkers on the 27'!F49</f>
        <v>0</v>
      </c>
    </row>
    <row r="22" spans="1:14" x14ac:dyDescent="0.35">
      <c r="A22" s="33"/>
      <c r="B22" s="40"/>
      <c r="C22" s="34"/>
      <c r="D22" s="35"/>
      <c r="F22" s="33"/>
      <c r="G22" s="40"/>
      <c r="H22" s="34"/>
      <c r="I22" s="35"/>
      <c r="K22" s="33"/>
      <c r="L22" s="40"/>
      <c r="M22" s="34"/>
      <c r="N22" s="35"/>
    </row>
    <row r="23" spans="1:14" x14ac:dyDescent="0.35">
      <c r="A23" s="50">
        <v>7</v>
      </c>
      <c r="B23" s="48" t="s">
        <v>37</v>
      </c>
      <c r="C23" s="49"/>
      <c r="D23" s="52">
        <f>'Practice Facilties'!F57</f>
        <v>330425</v>
      </c>
      <c r="F23" s="50">
        <v>7</v>
      </c>
      <c r="G23" s="48" t="s">
        <v>122</v>
      </c>
      <c r="H23" s="49"/>
      <c r="I23" s="52">
        <f>'Two PGs'!F56</f>
        <v>35878</v>
      </c>
      <c r="K23" s="50">
        <v>7</v>
      </c>
      <c r="L23" s="48" t="s">
        <v>37</v>
      </c>
      <c r="M23" s="49"/>
      <c r="N23" s="52">
        <f>'Re-Build Bunkers on the 27'!F56</f>
        <v>0</v>
      </c>
    </row>
    <row r="24" spans="1:14" x14ac:dyDescent="0.35">
      <c r="A24" s="33"/>
      <c r="B24" s="40"/>
      <c r="C24" s="34"/>
      <c r="D24" s="35"/>
      <c r="F24" s="33"/>
      <c r="G24" s="40"/>
      <c r="H24" s="34"/>
      <c r="I24" s="35"/>
      <c r="K24" s="33"/>
      <c r="L24" s="40"/>
      <c r="M24" s="34"/>
      <c r="N24" s="35"/>
    </row>
    <row r="25" spans="1:14" ht="15" customHeight="1" x14ac:dyDescent="0.35">
      <c r="A25" s="50">
        <v>8</v>
      </c>
      <c r="B25" s="48" t="s">
        <v>42</v>
      </c>
      <c r="C25" s="49"/>
      <c r="D25" s="52">
        <f>'Practice Facilties'!F65</f>
        <v>33987.360000000001</v>
      </c>
      <c r="F25" s="50">
        <v>8</v>
      </c>
      <c r="G25" s="48" t="s">
        <v>42</v>
      </c>
      <c r="H25" s="49"/>
      <c r="I25" s="52">
        <f>'Two PGs'!F64</f>
        <v>0</v>
      </c>
      <c r="K25" s="50">
        <v>8</v>
      </c>
      <c r="L25" s="48" t="s">
        <v>42</v>
      </c>
      <c r="M25" s="49"/>
      <c r="N25" s="52">
        <f>'Re-Build Bunkers on the 27'!F64</f>
        <v>1793810</v>
      </c>
    </row>
    <row r="26" spans="1:14" x14ac:dyDescent="0.35">
      <c r="A26" s="33"/>
      <c r="C26" s="34"/>
      <c r="D26" s="35"/>
      <c r="E26" s="2"/>
      <c r="F26" s="33"/>
      <c r="H26" s="34"/>
      <c r="I26" s="35"/>
      <c r="K26" s="33"/>
      <c r="M26" s="34"/>
      <c r="N26" s="35"/>
    </row>
    <row r="27" spans="1:14" x14ac:dyDescent="0.35">
      <c r="A27" s="50">
        <v>9</v>
      </c>
      <c r="B27" s="49" t="s">
        <v>66</v>
      </c>
      <c r="C27" s="49"/>
      <c r="D27" s="52">
        <f>'Practice Facilties'!F72</f>
        <v>169303.34</v>
      </c>
      <c r="F27" s="50">
        <v>9</v>
      </c>
      <c r="G27" s="49" t="s">
        <v>66</v>
      </c>
      <c r="H27" s="49"/>
      <c r="I27" s="52">
        <f>'Two PGs'!F71</f>
        <v>17578.919999999998</v>
      </c>
      <c r="K27" s="50">
        <v>9</v>
      </c>
      <c r="L27" s="49" t="s">
        <v>66</v>
      </c>
      <c r="M27" s="49"/>
      <c r="N27" s="52">
        <f>'Re-Build Bunkers on the 27'!F71</f>
        <v>0</v>
      </c>
    </row>
    <row r="28" spans="1:14" s="2" customFormat="1" x14ac:dyDescent="0.35">
      <c r="A28" s="33"/>
      <c r="B28" s="40"/>
      <c r="C28"/>
      <c r="D28" s="35"/>
      <c r="F28" s="33"/>
      <c r="G28" s="40"/>
      <c r="H28"/>
      <c r="I28" s="35"/>
      <c r="K28" s="33"/>
      <c r="L28" s="40"/>
      <c r="M28"/>
      <c r="N28" s="35"/>
    </row>
    <row r="29" spans="1:14" x14ac:dyDescent="0.35">
      <c r="A29" s="50">
        <v>10</v>
      </c>
      <c r="B29" s="49" t="s">
        <v>67</v>
      </c>
      <c r="C29" s="49"/>
      <c r="D29" s="52">
        <f>'Practice Facilties'!F77</f>
        <v>55000</v>
      </c>
      <c r="F29" s="50">
        <v>10</v>
      </c>
      <c r="G29" s="49" t="s">
        <v>67</v>
      </c>
      <c r="H29" s="49"/>
      <c r="I29" s="52">
        <f>'Two PGs'!F76</f>
        <v>17000</v>
      </c>
      <c r="K29" s="50">
        <v>10</v>
      </c>
      <c r="L29" s="49" t="s">
        <v>67</v>
      </c>
      <c r="M29" s="49"/>
      <c r="N29" s="52">
        <f>'Re-Build Bunkers on the 27'!F76</f>
        <v>63750</v>
      </c>
    </row>
    <row r="30" spans="1:14" x14ac:dyDescent="0.35">
      <c r="A30" s="33"/>
      <c r="D30" s="35"/>
      <c r="F30" s="33"/>
      <c r="I30" s="35"/>
      <c r="K30" s="33"/>
      <c r="N30" s="35"/>
    </row>
    <row r="31" spans="1:14" x14ac:dyDescent="0.35">
      <c r="A31" s="50">
        <v>11</v>
      </c>
      <c r="B31" s="49" t="s">
        <v>68</v>
      </c>
      <c r="C31" s="49"/>
      <c r="D31" s="52">
        <f>'Practice Facilties'!F91</f>
        <v>282809.12</v>
      </c>
      <c r="F31" s="50">
        <v>11</v>
      </c>
      <c r="G31" s="49" t="s">
        <v>68</v>
      </c>
      <c r="H31" s="49"/>
      <c r="I31" s="52">
        <f>'Two PGs'!F89</f>
        <v>65934.2</v>
      </c>
      <c r="K31" s="50">
        <v>11</v>
      </c>
      <c r="L31" s="49" t="s">
        <v>68</v>
      </c>
      <c r="M31" s="49"/>
      <c r="N31" s="52">
        <f>'Re-Build Bunkers on the 27'!F89</f>
        <v>308312</v>
      </c>
    </row>
    <row r="32" spans="1:14" x14ac:dyDescent="0.35">
      <c r="A32" s="33"/>
      <c r="D32" s="74"/>
      <c r="F32" s="33"/>
      <c r="I32" s="74"/>
      <c r="K32" s="33"/>
      <c r="N32" s="74"/>
    </row>
    <row r="33" spans="1:14" x14ac:dyDescent="0.35">
      <c r="A33" s="50">
        <v>12</v>
      </c>
      <c r="B33" s="49" t="s">
        <v>83</v>
      </c>
      <c r="C33" s="49"/>
      <c r="D33" s="52">
        <v>275000</v>
      </c>
      <c r="F33" s="50">
        <v>12</v>
      </c>
      <c r="G33" s="49" t="s">
        <v>83</v>
      </c>
      <c r="H33" s="49"/>
      <c r="I33" s="52">
        <v>75000</v>
      </c>
      <c r="K33" s="50">
        <v>12</v>
      </c>
      <c r="L33" s="49" t="s">
        <v>83</v>
      </c>
      <c r="M33" s="49"/>
      <c r="N33" s="52">
        <v>75000</v>
      </c>
    </row>
    <row r="34" spans="1:14" x14ac:dyDescent="0.35">
      <c r="A34" s="33"/>
      <c r="D34" s="74"/>
      <c r="F34" s="33"/>
      <c r="I34" s="74"/>
      <c r="K34" s="33"/>
      <c r="N34" s="74"/>
    </row>
    <row r="35" spans="1:14" x14ac:dyDescent="0.35">
      <c r="A35" s="50">
        <v>13</v>
      </c>
      <c r="B35" s="49" t="s">
        <v>98</v>
      </c>
      <c r="C35" s="49" t="s">
        <v>129</v>
      </c>
      <c r="D35" s="52"/>
      <c r="F35" s="50">
        <v>13</v>
      </c>
      <c r="G35" s="49" t="s">
        <v>130</v>
      </c>
      <c r="H35" s="49"/>
      <c r="I35" s="52"/>
      <c r="K35" s="50">
        <v>13</v>
      </c>
      <c r="L35" s="49" t="s">
        <v>130</v>
      </c>
      <c r="M35" s="49"/>
      <c r="N35" s="52"/>
    </row>
    <row r="36" spans="1:14" ht="15" thickBot="1" x14ac:dyDescent="0.4">
      <c r="A36" s="33"/>
      <c r="D36" s="35"/>
      <c r="F36" s="33"/>
      <c r="I36" s="35"/>
      <c r="K36" s="33"/>
      <c r="N36" s="35"/>
    </row>
    <row r="37" spans="1:14" ht="16" thickBot="1" x14ac:dyDescent="0.4">
      <c r="A37" s="33"/>
      <c r="B37" s="34"/>
      <c r="C37" s="4" t="s">
        <v>0</v>
      </c>
      <c r="D37" s="53">
        <f>SUM(D11:D35)</f>
        <v>1934211.6100000003</v>
      </c>
      <c r="F37" s="33"/>
      <c r="G37" s="34"/>
      <c r="H37" s="4" t="s">
        <v>0</v>
      </c>
      <c r="I37" s="53">
        <f>SUM(I11:I35)</f>
        <v>720914.74</v>
      </c>
      <c r="K37" s="33"/>
      <c r="L37" s="34"/>
      <c r="M37" s="4" t="s">
        <v>0</v>
      </c>
      <c r="N37" s="53">
        <f>SUM(N11:N35)</f>
        <v>3390549.31</v>
      </c>
    </row>
    <row r="38" spans="1:14" ht="16" thickBot="1" x14ac:dyDescent="0.4">
      <c r="A38" s="33"/>
      <c r="B38" s="34"/>
      <c r="D38" s="37"/>
      <c r="F38" s="33"/>
      <c r="G38" s="34"/>
      <c r="I38" s="37"/>
      <c r="K38" s="33"/>
      <c r="L38" s="34"/>
      <c r="N38" s="37"/>
    </row>
    <row r="39" spans="1:14" ht="19" thickBot="1" x14ac:dyDescent="0.5">
      <c r="A39" s="41"/>
      <c r="B39" s="42"/>
      <c r="C39" s="42"/>
      <c r="D39" s="43"/>
      <c r="F39" s="41"/>
      <c r="G39" s="42"/>
      <c r="H39" s="42"/>
      <c r="I39" s="43"/>
      <c r="K39" s="41"/>
      <c r="L39" s="42"/>
      <c r="M39" s="42"/>
      <c r="N39" s="43"/>
    </row>
    <row r="41" spans="1:14" ht="16" thickBot="1" x14ac:dyDescent="0.4">
      <c r="M41" s="4" t="s">
        <v>124</v>
      </c>
      <c r="N41" s="98">
        <f>SUM(D37+I37+N37)</f>
        <v>6045675.6600000001</v>
      </c>
    </row>
    <row r="42" spans="1:14" ht="15" thickTop="1" x14ac:dyDescent="0.35"/>
    <row r="43" spans="1:14" ht="16" thickBot="1" x14ac:dyDescent="0.4">
      <c r="M43" s="4" t="s">
        <v>125</v>
      </c>
      <c r="N43" s="98">
        <f>SUM(N41*0.1)</f>
        <v>604567.56599999999</v>
      </c>
    </row>
    <row r="44" spans="1:14" ht="15" thickTop="1" x14ac:dyDescent="0.35"/>
    <row r="45" spans="1:14" ht="16" thickBot="1" x14ac:dyDescent="0.4">
      <c r="M45" s="4" t="s">
        <v>126</v>
      </c>
      <c r="N45" s="98">
        <f>SUM(N41+N43)</f>
        <v>6650243.2259999998</v>
      </c>
    </row>
    <row r="46" spans="1:14" ht="15" thickTop="1" x14ac:dyDescent="0.35"/>
  </sheetData>
  <mergeCells count="10">
    <mergeCell ref="K6:N6"/>
    <mergeCell ref="K7:N7"/>
    <mergeCell ref="A2:J2"/>
    <mergeCell ref="A3:J3"/>
    <mergeCell ref="A7:D7"/>
    <mergeCell ref="A6:D6"/>
    <mergeCell ref="F6:I6"/>
    <mergeCell ref="F7:I7"/>
    <mergeCell ref="A4:J4"/>
    <mergeCell ref="A5:J5"/>
  </mergeCells>
  <pageMargins left="0.7" right="0.7" top="0.75" bottom="0.75" header="0.3" footer="0.3"/>
  <pageSetup paperSize="17" scale="5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29279-6903-48A5-831B-7B7F9749C2D7}">
  <sheetPr>
    <pageSetUpPr fitToPage="1"/>
  </sheetPr>
  <dimension ref="A1:F186"/>
  <sheetViews>
    <sheetView topLeftCell="A75" zoomScale="120" zoomScaleNormal="120" workbookViewId="0">
      <selection activeCell="E45" sqref="E45"/>
    </sheetView>
  </sheetViews>
  <sheetFormatPr defaultRowHeight="14.5" x14ac:dyDescent="0.35"/>
  <cols>
    <col min="1" max="1" width="9.54296875" customWidth="1"/>
    <col min="2" max="2" width="79.81640625" customWidth="1"/>
    <col min="3" max="3" width="5.54296875" style="5" customWidth="1"/>
    <col min="4" max="4" width="17.54296875" style="73" customWidth="1"/>
    <col min="5" max="5" width="15.54296875" style="15" customWidth="1"/>
    <col min="6" max="6" width="16.453125" style="15" customWidth="1"/>
  </cols>
  <sheetData>
    <row r="1" spans="1:6" ht="21" x14ac:dyDescent="0.5">
      <c r="A1" s="112" t="s">
        <v>96</v>
      </c>
      <c r="B1" s="113"/>
      <c r="C1" s="113"/>
      <c r="D1" s="113"/>
      <c r="E1" s="113"/>
      <c r="F1" s="113"/>
    </row>
    <row r="2" spans="1:6" x14ac:dyDescent="0.35">
      <c r="A2" s="6"/>
      <c r="B2" s="6"/>
      <c r="C2" s="6"/>
      <c r="D2" s="65"/>
      <c r="E2" s="6"/>
      <c r="F2" s="6"/>
    </row>
    <row r="3" spans="1:6" ht="29" x14ac:dyDescent="0.35">
      <c r="A3" s="8" t="s">
        <v>1</v>
      </c>
      <c r="B3" s="9" t="s">
        <v>2</v>
      </c>
      <c r="C3" s="9" t="s">
        <v>3</v>
      </c>
      <c r="D3" s="66" t="s">
        <v>79</v>
      </c>
      <c r="E3" s="8" t="s">
        <v>4</v>
      </c>
      <c r="F3" s="25" t="s">
        <v>5</v>
      </c>
    </row>
    <row r="4" spans="1:6" x14ac:dyDescent="0.35">
      <c r="A4" s="57">
        <v>1</v>
      </c>
      <c r="B4" s="11" t="s">
        <v>6</v>
      </c>
      <c r="C4" s="12"/>
      <c r="D4" s="67"/>
      <c r="E4" s="17"/>
      <c r="F4" s="18"/>
    </row>
    <row r="5" spans="1:6" ht="15" customHeight="1" x14ac:dyDescent="0.35">
      <c r="A5" s="30">
        <v>1.1000000000000001</v>
      </c>
      <c r="B5" s="10" t="s">
        <v>86</v>
      </c>
      <c r="C5" s="12" t="s">
        <v>7</v>
      </c>
      <c r="D5" s="68">
        <v>1</v>
      </c>
      <c r="E5" s="19">
        <v>145000</v>
      </c>
      <c r="F5" s="20">
        <v>145000</v>
      </c>
    </row>
    <row r="6" spans="1:6" ht="60" customHeight="1" x14ac:dyDescent="0.35">
      <c r="A6" s="30">
        <v>1.2</v>
      </c>
      <c r="B6" s="10" t="s">
        <v>74</v>
      </c>
      <c r="C6" s="12" t="s">
        <v>9</v>
      </c>
      <c r="D6" s="68">
        <v>11</v>
      </c>
      <c r="E6" s="19">
        <v>1909.24</v>
      </c>
      <c r="F6" s="20">
        <f>D6*E6</f>
        <v>21001.64</v>
      </c>
    </row>
    <row r="7" spans="1:6" ht="45" customHeight="1" x14ac:dyDescent="0.35">
      <c r="A7" s="30">
        <v>1.3</v>
      </c>
      <c r="B7" s="10" t="s">
        <v>112</v>
      </c>
      <c r="C7" s="12" t="s">
        <v>10</v>
      </c>
      <c r="D7" s="68">
        <v>5000</v>
      </c>
      <c r="E7" s="19">
        <v>0.71</v>
      </c>
      <c r="F7" s="20">
        <f t="shared" ref="F7:F11" si="0">D7*E7</f>
        <v>3550</v>
      </c>
    </row>
    <row r="8" spans="1:6" ht="45" customHeight="1" x14ac:dyDescent="0.35">
      <c r="A8" s="30">
        <v>1.4</v>
      </c>
      <c r="B8" s="10" t="s">
        <v>113</v>
      </c>
      <c r="C8" s="12" t="s">
        <v>10</v>
      </c>
      <c r="D8" s="68">
        <v>8500</v>
      </c>
      <c r="E8" s="19">
        <v>1.99</v>
      </c>
      <c r="F8" s="20">
        <f t="shared" si="0"/>
        <v>16915</v>
      </c>
    </row>
    <row r="9" spans="1:6" ht="43.5" x14ac:dyDescent="0.35">
      <c r="A9" s="30">
        <v>1.5</v>
      </c>
      <c r="B9" s="10" t="s">
        <v>12</v>
      </c>
      <c r="C9" s="12" t="s">
        <v>10</v>
      </c>
      <c r="D9" s="68">
        <v>12000</v>
      </c>
      <c r="E9" s="19">
        <v>0.6</v>
      </c>
      <c r="F9" s="20">
        <f t="shared" si="0"/>
        <v>7200</v>
      </c>
    </row>
    <row r="10" spans="1:6" ht="45" customHeight="1" x14ac:dyDescent="0.35">
      <c r="A10" s="79">
        <v>1.6</v>
      </c>
      <c r="B10" s="80" t="s">
        <v>115</v>
      </c>
      <c r="C10" s="81" t="s">
        <v>10</v>
      </c>
      <c r="D10" s="85">
        <v>50000</v>
      </c>
      <c r="E10" s="83">
        <v>1.54</v>
      </c>
      <c r="F10" s="84">
        <f t="shared" ref="F10" si="1">D10*E10</f>
        <v>77000</v>
      </c>
    </row>
    <row r="11" spans="1:6" ht="15" thickBot="1" x14ac:dyDescent="0.4">
      <c r="A11" s="30">
        <v>1.7</v>
      </c>
      <c r="B11" s="10" t="s">
        <v>13</v>
      </c>
      <c r="C11" s="12" t="s">
        <v>14</v>
      </c>
      <c r="D11" s="68">
        <v>1000</v>
      </c>
      <c r="E11" s="19">
        <v>6.72</v>
      </c>
      <c r="F11" s="20">
        <f t="shared" si="0"/>
        <v>6720</v>
      </c>
    </row>
    <row r="12" spans="1:6" ht="15" customHeight="1" thickBot="1" x14ac:dyDescent="0.4">
      <c r="A12" s="30"/>
      <c r="B12" s="10"/>
      <c r="C12" s="12"/>
      <c r="D12" s="67"/>
      <c r="E12" s="21" t="s">
        <v>15</v>
      </c>
      <c r="F12" s="22">
        <f>SUM(F5:F11)</f>
        <v>277386.64</v>
      </c>
    </row>
    <row r="13" spans="1:6" ht="15" customHeight="1" x14ac:dyDescent="0.35">
      <c r="A13" s="30"/>
      <c r="B13" s="10"/>
      <c r="C13" s="12"/>
      <c r="D13" s="67"/>
      <c r="E13" s="56"/>
      <c r="F13" s="55"/>
    </row>
    <row r="14" spans="1:6" ht="29" x14ac:dyDescent="0.35">
      <c r="A14" s="8" t="s">
        <v>1</v>
      </c>
      <c r="B14" s="9" t="s">
        <v>2</v>
      </c>
      <c r="C14" s="9" t="s">
        <v>3</v>
      </c>
      <c r="D14" s="66" t="s">
        <v>79</v>
      </c>
      <c r="E14" s="8" t="s">
        <v>4</v>
      </c>
      <c r="F14" s="25" t="s">
        <v>5</v>
      </c>
    </row>
    <row r="15" spans="1:6" x14ac:dyDescent="0.35">
      <c r="A15" s="57">
        <v>2</v>
      </c>
      <c r="B15" s="11" t="s">
        <v>64</v>
      </c>
      <c r="C15" s="12"/>
      <c r="D15" s="67"/>
      <c r="E15" s="17"/>
      <c r="F15" s="18"/>
    </row>
    <row r="16" spans="1:6" ht="60" customHeight="1" x14ac:dyDescent="0.35">
      <c r="A16" s="30">
        <v>2.1</v>
      </c>
      <c r="B16" s="10" t="s">
        <v>60</v>
      </c>
      <c r="C16" s="12" t="s">
        <v>16</v>
      </c>
      <c r="D16" s="68">
        <v>3000</v>
      </c>
      <c r="E16" s="19">
        <v>6.73</v>
      </c>
      <c r="F16" s="20">
        <f>D16*E16</f>
        <v>20190</v>
      </c>
    </row>
    <row r="17" spans="1:6" ht="29.5" thickBot="1" x14ac:dyDescent="0.4">
      <c r="A17" s="30">
        <v>2.2000000000000002</v>
      </c>
      <c r="B17" s="10" t="s">
        <v>17</v>
      </c>
      <c r="C17" s="12" t="s">
        <v>16</v>
      </c>
      <c r="D17" s="68">
        <v>1500</v>
      </c>
      <c r="E17" s="19">
        <v>5.38</v>
      </c>
      <c r="F17" s="20">
        <f>D17*E17</f>
        <v>8070</v>
      </c>
    </row>
    <row r="18" spans="1:6" ht="15" thickBot="1" x14ac:dyDescent="0.4">
      <c r="A18" s="30"/>
      <c r="B18" s="10"/>
      <c r="C18" s="12"/>
      <c r="D18" s="67"/>
      <c r="E18" s="23" t="s">
        <v>18</v>
      </c>
      <c r="F18" s="22">
        <f>SUM(F16:F17)</f>
        <v>28260</v>
      </c>
    </row>
    <row r="19" spans="1:6" x14ac:dyDescent="0.35">
      <c r="A19" s="30"/>
      <c r="B19" s="10"/>
      <c r="C19" s="12"/>
      <c r="D19" s="67"/>
      <c r="E19" s="54"/>
      <c r="F19" s="55"/>
    </row>
    <row r="20" spans="1:6" ht="29" x14ac:dyDescent="0.35">
      <c r="A20" s="8" t="s">
        <v>1</v>
      </c>
      <c r="B20" s="9" t="s">
        <v>2</v>
      </c>
      <c r="C20" s="9" t="s">
        <v>3</v>
      </c>
      <c r="D20" s="66" t="s">
        <v>79</v>
      </c>
      <c r="E20" s="8" t="s">
        <v>4</v>
      </c>
      <c r="F20" s="25" t="s">
        <v>5</v>
      </c>
    </row>
    <row r="21" spans="1:6" ht="30" customHeight="1" x14ac:dyDescent="0.35">
      <c r="A21" s="57">
        <v>3</v>
      </c>
      <c r="B21" s="58" t="s">
        <v>19</v>
      </c>
      <c r="C21" s="59"/>
      <c r="D21" s="69"/>
      <c r="E21" s="17"/>
      <c r="F21" s="18"/>
    </row>
    <row r="22" spans="1:6" x14ac:dyDescent="0.35">
      <c r="A22" s="30">
        <v>3.1</v>
      </c>
      <c r="B22" s="10" t="s">
        <v>59</v>
      </c>
      <c r="C22" s="12" t="s">
        <v>14</v>
      </c>
      <c r="D22" s="68">
        <v>5000</v>
      </c>
      <c r="E22" s="19">
        <v>6.72</v>
      </c>
      <c r="F22" s="20">
        <f t="shared" ref="F22:F25" si="2">D22*E22</f>
        <v>33600</v>
      </c>
    </row>
    <row r="23" spans="1:6" x14ac:dyDescent="0.35">
      <c r="A23" s="30">
        <v>3.2</v>
      </c>
      <c r="B23" s="10" t="s">
        <v>20</v>
      </c>
      <c r="C23" s="12" t="s">
        <v>14</v>
      </c>
      <c r="D23" s="68">
        <v>1000</v>
      </c>
      <c r="E23" s="19">
        <v>36.83</v>
      </c>
      <c r="F23" s="20">
        <f t="shared" si="2"/>
        <v>36830</v>
      </c>
    </row>
    <row r="24" spans="1:6" x14ac:dyDescent="0.35">
      <c r="A24" s="30">
        <v>3.3</v>
      </c>
      <c r="B24" s="10" t="s">
        <v>21</v>
      </c>
      <c r="C24" s="12" t="s">
        <v>14</v>
      </c>
      <c r="D24" s="68">
        <v>1500</v>
      </c>
      <c r="E24" s="19">
        <v>26.62</v>
      </c>
      <c r="F24" s="20">
        <f t="shared" si="2"/>
        <v>39930</v>
      </c>
    </row>
    <row r="25" spans="1:6" ht="15" thickBot="1" x14ac:dyDescent="0.4">
      <c r="A25" s="30">
        <v>3.4</v>
      </c>
      <c r="B25" s="10" t="s">
        <v>80</v>
      </c>
      <c r="C25" s="12" t="s">
        <v>22</v>
      </c>
      <c r="D25" s="68">
        <v>1</v>
      </c>
      <c r="E25" s="19">
        <v>41057.82</v>
      </c>
      <c r="F25" s="20">
        <f t="shared" si="2"/>
        <v>41057.82</v>
      </c>
    </row>
    <row r="26" spans="1:6" ht="15" customHeight="1" thickBot="1" x14ac:dyDescent="0.4">
      <c r="A26" s="30"/>
      <c r="B26" s="10"/>
      <c r="C26" s="12"/>
      <c r="D26" s="67"/>
      <c r="E26" s="23" t="s">
        <v>70</v>
      </c>
      <c r="F26" s="22">
        <f>SUM(F22:F25)</f>
        <v>151417.82</v>
      </c>
    </row>
    <row r="27" spans="1:6" ht="15" customHeight="1" x14ac:dyDescent="0.35">
      <c r="A27" s="30"/>
      <c r="B27" s="10"/>
      <c r="C27" s="12"/>
      <c r="D27" s="67"/>
      <c r="E27" s="54"/>
      <c r="F27" s="55"/>
    </row>
    <row r="28" spans="1:6" ht="29" x14ac:dyDescent="0.35">
      <c r="A28" s="8" t="s">
        <v>1</v>
      </c>
      <c r="B28" s="9" t="s">
        <v>2</v>
      </c>
      <c r="C28" s="9" t="s">
        <v>3</v>
      </c>
      <c r="D28" s="66" t="s">
        <v>79</v>
      </c>
      <c r="E28" s="8" t="s">
        <v>4</v>
      </c>
      <c r="F28" s="25" t="s">
        <v>5</v>
      </c>
    </row>
    <row r="29" spans="1:6" ht="19.5" customHeight="1" x14ac:dyDescent="0.35">
      <c r="A29" s="57">
        <v>4</v>
      </c>
      <c r="B29" s="11" t="s">
        <v>23</v>
      </c>
      <c r="C29" s="12"/>
      <c r="D29" s="67"/>
      <c r="E29" s="17"/>
      <c r="F29" s="18"/>
    </row>
    <row r="30" spans="1:6" ht="30" customHeight="1" x14ac:dyDescent="0.35">
      <c r="A30" s="30"/>
      <c r="B30" s="60" t="s">
        <v>88</v>
      </c>
      <c r="C30" s="10"/>
      <c r="D30" s="70"/>
      <c r="E30" s="10"/>
      <c r="F30" s="18"/>
    </row>
    <row r="31" spans="1:6" ht="43.5" x14ac:dyDescent="0.35">
      <c r="A31" s="88">
        <v>4.0999999999999996</v>
      </c>
      <c r="B31" s="87" t="s">
        <v>87</v>
      </c>
      <c r="C31" s="88" t="s">
        <v>9</v>
      </c>
      <c r="D31" s="89">
        <f>D6</f>
        <v>11</v>
      </c>
      <c r="E31" s="90">
        <v>6800</v>
      </c>
      <c r="F31" s="91">
        <f>D31*E31</f>
        <v>74800</v>
      </c>
    </row>
    <row r="32" spans="1:6" ht="15" customHeight="1" x14ac:dyDescent="0.35">
      <c r="A32" s="30"/>
      <c r="B32" s="10"/>
      <c r="C32" s="12"/>
      <c r="D32" s="67"/>
      <c r="E32" s="26" t="s">
        <v>24</v>
      </c>
      <c r="F32" s="24">
        <f>SUM(F31:F31)</f>
        <v>74800</v>
      </c>
    </row>
    <row r="33" spans="1:6" x14ac:dyDescent="0.35">
      <c r="A33" s="30"/>
      <c r="B33" s="10"/>
      <c r="C33" s="12"/>
      <c r="D33" s="67"/>
      <c r="E33" s="17"/>
      <c r="F33" s="18"/>
    </row>
    <row r="34" spans="1:6" ht="29" x14ac:dyDescent="0.35">
      <c r="A34" s="8" t="s">
        <v>1</v>
      </c>
      <c r="B34" s="9" t="s">
        <v>2</v>
      </c>
      <c r="C34" s="9" t="s">
        <v>3</v>
      </c>
      <c r="D34" s="66" t="s">
        <v>79</v>
      </c>
      <c r="E34" s="8" t="s">
        <v>4</v>
      </c>
      <c r="F34" s="25" t="s">
        <v>5</v>
      </c>
    </row>
    <row r="35" spans="1:6" x14ac:dyDescent="0.35">
      <c r="A35" s="57">
        <v>5</v>
      </c>
      <c r="B35" s="11" t="s">
        <v>25</v>
      </c>
      <c r="C35" s="12"/>
      <c r="D35" s="67"/>
      <c r="E35" s="17"/>
      <c r="F35" s="18"/>
    </row>
    <row r="36" spans="1:6" ht="43.5" x14ac:dyDescent="0.35">
      <c r="A36" s="30"/>
      <c r="B36" s="10" t="s">
        <v>26</v>
      </c>
      <c r="C36" s="12"/>
      <c r="D36" s="67"/>
      <c r="E36" s="17"/>
      <c r="F36" s="18"/>
    </row>
    <row r="37" spans="1:6" x14ac:dyDescent="0.35">
      <c r="A37" s="30">
        <v>5.0999999999999996</v>
      </c>
      <c r="B37" s="10" t="s">
        <v>27</v>
      </c>
      <c r="C37" s="12" t="s">
        <v>14</v>
      </c>
      <c r="D37" s="72">
        <v>1500</v>
      </c>
      <c r="E37" s="19">
        <v>14.43</v>
      </c>
      <c r="F37" s="20">
        <f t="shared" ref="F37:F41" si="3">D37*E37</f>
        <v>21645</v>
      </c>
    </row>
    <row r="38" spans="1:6" x14ac:dyDescent="0.35">
      <c r="A38" s="30">
        <v>5.2</v>
      </c>
      <c r="B38" s="10" t="s">
        <v>28</v>
      </c>
      <c r="C38" s="12" t="s">
        <v>14</v>
      </c>
      <c r="D38" s="72">
        <v>750</v>
      </c>
      <c r="E38" s="19">
        <v>18.97</v>
      </c>
      <c r="F38" s="20">
        <f t="shared" si="3"/>
        <v>14227.5</v>
      </c>
    </row>
    <row r="39" spans="1:6" ht="43.5" x14ac:dyDescent="0.35">
      <c r="A39" s="30">
        <v>5.3</v>
      </c>
      <c r="B39" s="10" t="s">
        <v>29</v>
      </c>
      <c r="C39" s="12" t="s">
        <v>14</v>
      </c>
      <c r="D39" s="72">
        <v>1500</v>
      </c>
      <c r="E39" s="19">
        <v>22.12</v>
      </c>
      <c r="F39" s="20">
        <f t="shared" si="3"/>
        <v>33180</v>
      </c>
    </row>
    <row r="40" spans="1:6" ht="29" x14ac:dyDescent="0.35">
      <c r="A40" s="30">
        <v>5.4</v>
      </c>
      <c r="B40" s="10" t="s">
        <v>30</v>
      </c>
      <c r="C40" s="12" t="s">
        <v>8</v>
      </c>
      <c r="D40" s="72">
        <v>15</v>
      </c>
      <c r="E40" s="19">
        <v>560.49</v>
      </c>
      <c r="F40" s="20">
        <f t="shared" si="3"/>
        <v>8407.35</v>
      </c>
    </row>
    <row r="41" spans="1:6" ht="29" x14ac:dyDescent="0.35">
      <c r="A41" s="30">
        <v>5.5</v>
      </c>
      <c r="B41" s="10" t="s">
        <v>31</v>
      </c>
      <c r="C41" s="12" t="s">
        <v>8</v>
      </c>
      <c r="D41" s="72">
        <v>6</v>
      </c>
      <c r="E41" s="19">
        <v>846.08</v>
      </c>
      <c r="F41" s="20">
        <f t="shared" si="3"/>
        <v>5076.4800000000005</v>
      </c>
    </row>
    <row r="42" spans="1:6" x14ac:dyDescent="0.35">
      <c r="A42" s="30"/>
      <c r="B42" s="10"/>
      <c r="C42" s="12"/>
      <c r="D42" s="67"/>
      <c r="E42" s="26" t="s">
        <v>32</v>
      </c>
      <c r="F42" s="24">
        <f>SUM(F37:F41)</f>
        <v>82536.33</v>
      </c>
    </row>
    <row r="43" spans="1:6" x14ac:dyDescent="0.35">
      <c r="A43" s="30"/>
      <c r="B43" s="10"/>
      <c r="C43" s="12"/>
      <c r="D43" s="67"/>
      <c r="E43" s="17"/>
      <c r="F43" s="18"/>
    </row>
    <row r="44" spans="1:6" ht="29" x14ac:dyDescent="0.35">
      <c r="A44" s="57">
        <v>6</v>
      </c>
      <c r="B44" s="11" t="s">
        <v>108</v>
      </c>
      <c r="C44" s="12"/>
      <c r="D44" s="67"/>
      <c r="E44" s="17"/>
      <c r="F44" s="18"/>
    </row>
    <row r="45" spans="1:6" x14ac:dyDescent="0.35">
      <c r="A45" s="30">
        <v>6.1</v>
      </c>
      <c r="B45" s="10" t="s">
        <v>34</v>
      </c>
      <c r="C45" s="12" t="s">
        <v>14</v>
      </c>
      <c r="D45" s="72">
        <f>SUM(D47*0.15)</f>
        <v>1950</v>
      </c>
      <c r="E45" s="19">
        <v>18</v>
      </c>
      <c r="F45" s="20">
        <f t="shared" ref="F45:F46" si="4">D45*E45</f>
        <v>35100</v>
      </c>
    </row>
    <row r="46" spans="1:6" x14ac:dyDescent="0.35">
      <c r="A46" s="30">
        <v>6.2</v>
      </c>
      <c r="B46" s="10" t="s">
        <v>35</v>
      </c>
      <c r="C46" s="12" t="s">
        <v>14</v>
      </c>
      <c r="D46" s="72">
        <f>SUM(D47*0.12)</f>
        <v>1560</v>
      </c>
      <c r="E46" s="19">
        <v>13.35</v>
      </c>
      <c r="F46" s="20">
        <f t="shared" si="4"/>
        <v>20826</v>
      </c>
    </row>
    <row r="47" spans="1:6" x14ac:dyDescent="0.35">
      <c r="A47" s="30">
        <v>6.3</v>
      </c>
      <c r="B47" s="10" t="s">
        <v>75</v>
      </c>
      <c r="C47" s="12" t="s">
        <v>10</v>
      </c>
      <c r="D47" s="72">
        <v>13000</v>
      </c>
      <c r="E47" s="19">
        <v>1.83</v>
      </c>
      <c r="F47" s="20">
        <f>D47*E47</f>
        <v>23790</v>
      </c>
    </row>
    <row r="48" spans="1:6" x14ac:dyDescent="0.35">
      <c r="A48" s="30">
        <v>6.4</v>
      </c>
      <c r="B48" s="10" t="s">
        <v>76</v>
      </c>
      <c r="C48" s="12" t="s">
        <v>10</v>
      </c>
      <c r="D48" s="72">
        <f>D47</f>
        <v>13000</v>
      </c>
      <c r="E48" s="19">
        <v>6.82</v>
      </c>
      <c r="F48" s="20">
        <f>D48*E48</f>
        <v>88660</v>
      </c>
    </row>
    <row r="49" spans="1:6" x14ac:dyDescent="0.35">
      <c r="A49" s="61">
        <v>6.5</v>
      </c>
      <c r="B49" s="75" t="s">
        <v>89</v>
      </c>
      <c r="C49" s="76" t="s">
        <v>14</v>
      </c>
      <c r="D49" s="78">
        <v>1000</v>
      </c>
      <c r="E49" s="77">
        <v>4.91</v>
      </c>
      <c r="F49" s="20">
        <f>D49*E49</f>
        <v>4910</v>
      </c>
    </row>
    <row r="50" spans="1:6" x14ac:dyDescent="0.35">
      <c r="A50" s="30"/>
      <c r="B50" s="10"/>
      <c r="C50" s="12"/>
      <c r="D50" s="67"/>
      <c r="E50" s="26" t="s">
        <v>36</v>
      </c>
      <c r="F50" s="24">
        <f>SUM(F45:F49)</f>
        <v>173286</v>
      </c>
    </row>
    <row r="51" spans="1:6" x14ac:dyDescent="0.35">
      <c r="A51" s="30"/>
      <c r="B51" s="10"/>
      <c r="C51" s="12"/>
      <c r="D51" s="67"/>
      <c r="E51" s="17"/>
      <c r="F51" s="18"/>
    </row>
    <row r="52" spans="1:6" x14ac:dyDescent="0.35">
      <c r="A52" s="57">
        <v>7</v>
      </c>
      <c r="B52" s="11" t="s">
        <v>91</v>
      </c>
      <c r="C52" s="12"/>
      <c r="D52" s="67"/>
      <c r="E52" s="17"/>
      <c r="F52" s="18"/>
    </row>
    <row r="53" spans="1:6" ht="29" x14ac:dyDescent="0.35">
      <c r="A53" s="30">
        <v>7.1</v>
      </c>
      <c r="B53" s="10" t="s">
        <v>38</v>
      </c>
      <c r="C53" s="12" t="s">
        <v>14</v>
      </c>
      <c r="D53" s="72">
        <f>D54*0.15</f>
        <v>11250</v>
      </c>
      <c r="E53" s="19">
        <v>19.14</v>
      </c>
      <c r="F53" s="20">
        <f>D53*E53</f>
        <v>215325</v>
      </c>
    </row>
    <row r="54" spans="1:6" ht="29" x14ac:dyDescent="0.35">
      <c r="A54" s="79">
        <v>7.2</v>
      </c>
      <c r="B54" s="80" t="s">
        <v>114</v>
      </c>
      <c r="C54" s="81" t="s">
        <v>10</v>
      </c>
      <c r="D54" s="82">
        <v>75000</v>
      </c>
      <c r="E54" s="83">
        <v>1.28</v>
      </c>
      <c r="F54" s="84">
        <f>D54*E54</f>
        <v>96000</v>
      </c>
    </row>
    <row r="55" spans="1:6" ht="15" customHeight="1" x14ac:dyDescent="0.35">
      <c r="A55" s="30">
        <v>7.3</v>
      </c>
      <c r="B55" s="10" t="s">
        <v>39</v>
      </c>
      <c r="C55" s="12" t="s">
        <v>14</v>
      </c>
      <c r="D55" s="72">
        <v>500</v>
      </c>
      <c r="E55" s="19">
        <v>14.2</v>
      </c>
      <c r="F55" s="20">
        <f>D55*E55</f>
        <v>7100</v>
      </c>
    </row>
    <row r="56" spans="1:6" x14ac:dyDescent="0.35">
      <c r="A56" s="30">
        <v>7.4</v>
      </c>
      <c r="B56" s="10" t="s">
        <v>40</v>
      </c>
      <c r="C56" s="12" t="s">
        <v>10</v>
      </c>
      <c r="D56" s="72">
        <f>D54</f>
        <v>75000</v>
      </c>
      <c r="E56" s="19">
        <v>0.16</v>
      </c>
      <c r="F56" s="20">
        <f>D56*E56</f>
        <v>12000</v>
      </c>
    </row>
    <row r="57" spans="1:6" x14ac:dyDescent="0.35">
      <c r="A57" s="30"/>
      <c r="B57" s="10"/>
      <c r="C57" s="12"/>
      <c r="D57" s="67"/>
      <c r="E57" s="26" t="s">
        <v>41</v>
      </c>
      <c r="F57" s="24">
        <f>SUM(F53:F56)</f>
        <v>330425</v>
      </c>
    </row>
    <row r="58" spans="1:6" x14ac:dyDescent="0.35">
      <c r="A58" s="30"/>
      <c r="B58" s="10"/>
      <c r="C58" s="12"/>
      <c r="D58" s="67"/>
      <c r="E58" s="17"/>
      <c r="F58" s="18"/>
    </row>
    <row r="59" spans="1:6" x14ac:dyDescent="0.35">
      <c r="A59" s="57">
        <v>8</v>
      </c>
      <c r="B59" s="11" t="s">
        <v>77</v>
      </c>
      <c r="C59" s="12"/>
      <c r="D59" s="67"/>
      <c r="E59" s="17"/>
      <c r="F59" s="18"/>
    </row>
    <row r="60" spans="1:6" x14ac:dyDescent="0.35">
      <c r="A60" s="30">
        <v>8.1</v>
      </c>
      <c r="B60" s="10" t="s">
        <v>43</v>
      </c>
      <c r="C60" s="12" t="s">
        <v>10</v>
      </c>
      <c r="D60" s="72">
        <v>3000</v>
      </c>
      <c r="E60" s="19">
        <v>1.9</v>
      </c>
      <c r="F60" s="20">
        <f>D60*E60</f>
        <v>5700</v>
      </c>
    </row>
    <row r="61" spans="1:6" x14ac:dyDescent="0.35">
      <c r="A61" s="30">
        <v>8.1999999999999993</v>
      </c>
      <c r="B61" s="10" t="s">
        <v>57</v>
      </c>
      <c r="C61" s="12" t="s">
        <v>14</v>
      </c>
      <c r="D61" s="72">
        <f>D63*0.085</f>
        <v>255.00000000000003</v>
      </c>
      <c r="E61" s="19">
        <v>16.5</v>
      </c>
      <c r="F61" s="20">
        <f>D61*E61</f>
        <v>4207.5000000000009</v>
      </c>
    </row>
    <row r="62" spans="1:6" x14ac:dyDescent="0.35">
      <c r="A62" s="30">
        <v>8.3000000000000007</v>
      </c>
      <c r="B62" s="10" t="s">
        <v>58</v>
      </c>
      <c r="C62" s="12" t="s">
        <v>14</v>
      </c>
      <c r="D62" s="72">
        <f>D60*0.0372</f>
        <v>111.6</v>
      </c>
      <c r="E62" s="19">
        <v>13.35</v>
      </c>
      <c r="F62" s="20">
        <f>D62*E62</f>
        <v>1489.86</v>
      </c>
    </row>
    <row r="63" spans="1:6" x14ac:dyDescent="0.35">
      <c r="A63" s="79">
        <v>8.4</v>
      </c>
      <c r="B63" s="87" t="s">
        <v>121</v>
      </c>
      <c r="C63" s="81" t="s">
        <v>10</v>
      </c>
      <c r="D63" s="82">
        <f>D60</f>
        <v>3000</v>
      </c>
      <c r="E63" s="83">
        <v>5.27</v>
      </c>
      <c r="F63" s="84">
        <f>D63*E63</f>
        <v>15809.999999999998</v>
      </c>
    </row>
    <row r="64" spans="1:6" ht="29" x14ac:dyDescent="0.35">
      <c r="A64" s="30">
        <v>8.5</v>
      </c>
      <c r="B64" s="10" t="s">
        <v>93</v>
      </c>
      <c r="C64" s="12" t="s">
        <v>10</v>
      </c>
      <c r="D64" s="72">
        <f>D63</f>
        <v>3000</v>
      </c>
      <c r="E64" s="19">
        <v>2.2599999999999998</v>
      </c>
      <c r="F64" s="20">
        <f>D64*E64</f>
        <v>6779.9999999999991</v>
      </c>
    </row>
    <row r="65" spans="1:6" x14ac:dyDescent="0.35">
      <c r="A65" s="30"/>
      <c r="B65" s="10"/>
      <c r="C65" s="12"/>
      <c r="D65" s="67"/>
      <c r="E65" s="27" t="s">
        <v>44</v>
      </c>
      <c r="F65" s="28">
        <f>SUM(F60:F64)</f>
        <v>33987.360000000001</v>
      </c>
    </row>
    <row r="66" spans="1:6" x14ac:dyDescent="0.35">
      <c r="A66" s="30"/>
      <c r="B66" s="10"/>
      <c r="C66" s="12"/>
      <c r="D66" s="67"/>
      <c r="E66" s="27"/>
      <c r="F66" s="28"/>
    </row>
    <row r="67" spans="1:6" ht="29" x14ac:dyDescent="0.35">
      <c r="A67" s="8" t="s">
        <v>1</v>
      </c>
      <c r="B67" s="14" t="s">
        <v>2</v>
      </c>
      <c r="C67" s="14" t="s">
        <v>3</v>
      </c>
      <c r="D67" s="66" t="s">
        <v>79</v>
      </c>
      <c r="E67" s="13" t="s">
        <v>4</v>
      </c>
      <c r="F67" s="29" t="s">
        <v>5</v>
      </c>
    </row>
    <row r="68" spans="1:6" x14ac:dyDescent="0.35">
      <c r="A68" s="57">
        <v>9</v>
      </c>
      <c r="B68" s="11" t="s">
        <v>71</v>
      </c>
      <c r="C68" s="12"/>
      <c r="D68" s="67"/>
      <c r="E68" s="17"/>
      <c r="F68" s="18"/>
    </row>
    <row r="69" spans="1:6" x14ac:dyDescent="0.35">
      <c r="A69" s="30">
        <v>9.1</v>
      </c>
      <c r="B69" s="10" t="s">
        <v>45</v>
      </c>
      <c r="C69" s="12" t="s">
        <v>8</v>
      </c>
      <c r="D69" s="72">
        <v>6</v>
      </c>
      <c r="E69" s="19">
        <v>511.89</v>
      </c>
      <c r="F69" s="20">
        <f>D69*E69</f>
        <v>3071.34</v>
      </c>
    </row>
    <row r="70" spans="1:6" ht="29" x14ac:dyDescent="0.35">
      <c r="A70" s="30">
        <v>9.1999999999999993</v>
      </c>
      <c r="B70" s="10" t="s">
        <v>72</v>
      </c>
      <c r="C70" s="12" t="s">
        <v>10</v>
      </c>
      <c r="D70" s="72">
        <v>15500</v>
      </c>
      <c r="E70" s="19">
        <v>10</v>
      </c>
      <c r="F70" s="20">
        <f>D70*E70</f>
        <v>155000</v>
      </c>
    </row>
    <row r="71" spans="1:6" x14ac:dyDescent="0.35">
      <c r="A71" s="30">
        <v>9.3000000000000007</v>
      </c>
      <c r="B71" s="10" t="s">
        <v>46</v>
      </c>
      <c r="C71" s="12" t="s">
        <v>14</v>
      </c>
      <c r="D71" s="72">
        <v>1200</v>
      </c>
      <c r="E71" s="19">
        <v>9.36</v>
      </c>
      <c r="F71" s="20">
        <f>D71*E71</f>
        <v>11232</v>
      </c>
    </row>
    <row r="72" spans="1:6" x14ac:dyDescent="0.35">
      <c r="A72" s="30"/>
      <c r="B72" s="10"/>
      <c r="C72" s="12"/>
      <c r="D72" s="67"/>
      <c r="E72" s="26" t="s">
        <v>47</v>
      </c>
      <c r="F72" s="24">
        <f>SUM(F69:F71)</f>
        <v>169303.34</v>
      </c>
    </row>
    <row r="73" spans="1:6" x14ac:dyDescent="0.35">
      <c r="A73" s="30"/>
      <c r="B73" s="10"/>
      <c r="C73" s="12"/>
      <c r="D73" s="67"/>
      <c r="E73" s="17"/>
      <c r="F73" s="18"/>
    </row>
    <row r="74" spans="1:6" x14ac:dyDescent="0.35">
      <c r="A74" s="57">
        <v>10</v>
      </c>
      <c r="B74" s="11" t="s">
        <v>48</v>
      </c>
      <c r="C74" s="12"/>
      <c r="D74" s="67"/>
      <c r="E74" s="17"/>
      <c r="F74" s="18"/>
    </row>
    <row r="75" spans="1:6" ht="79.5" customHeight="1" x14ac:dyDescent="0.35">
      <c r="A75" s="30"/>
      <c r="B75" s="114" t="s">
        <v>49</v>
      </c>
      <c r="C75" s="115"/>
      <c r="D75" s="116"/>
      <c r="E75" s="17"/>
      <c r="F75" s="18"/>
    </row>
    <row r="76" spans="1:6" ht="29" x14ac:dyDescent="0.35">
      <c r="A76" s="79">
        <v>10.1</v>
      </c>
      <c r="B76" s="80" t="s">
        <v>94</v>
      </c>
      <c r="C76" s="81" t="s">
        <v>9</v>
      </c>
      <c r="D76" s="85">
        <f>D6</f>
        <v>11</v>
      </c>
      <c r="E76" s="83">
        <v>5000</v>
      </c>
      <c r="F76" s="84">
        <f>D76*E76</f>
        <v>55000</v>
      </c>
    </row>
    <row r="77" spans="1:6" x14ac:dyDescent="0.35">
      <c r="A77" s="30"/>
      <c r="B77" s="10"/>
      <c r="C77" s="12"/>
      <c r="D77" s="67"/>
      <c r="E77" s="26" t="s">
        <v>50</v>
      </c>
      <c r="F77" s="24">
        <f>SUM(F76)</f>
        <v>55000</v>
      </c>
    </row>
    <row r="78" spans="1:6" x14ac:dyDescent="0.35">
      <c r="A78" s="30"/>
      <c r="B78" s="10"/>
      <c r="C78" s="12"/>
      <c r="D78" s="67"/>
      <c r="E78" s="17"/>
      <c r="F78" s="18"/>
    </row>
    <row r="79" spans="1:6" x14ac:dyDescent="0.35">
      <c r="A79" s="57">
        <v>11</v>
      </c>
      <c r="B79" s="11" t="s">
        <v>51</v>
      </c>
      <c r="C79" s="12"/>
      <c r="D79" s="67"/>
      <c r="E79" s="17"/>
      <c r="F79" s="18"/>
    </row>
    <row r="80" spans="1:6" x14ac:dyDescent="0.35">
      <c r="A80" s="30"/>
      <c r="B80" s="11" t="s">
        <v>52</v>
      </c>
      <c r="C80" s="12"/>
      <c r="D80" s="67"/>
      <c r="E80" s="17"/>
      <c r="F80" s="18"/>
    </row>
    <row r="81" spans="1:6" x14ac:dyDescent="0.35">
      <c r="A81" s="30">
        <v>11.1</v>
      </c>
      <c r="B81" s="10" t="s">
        <v>53</v>
      </c>
      <c r="C81" s="12" t="s">
        <v>10</v>
      </c>
      <c r="D81" s="67">
        <f>SUM(D82+D83)</f>
        <v>31000</v>
      </c>
      <c r="E81" s="17"/>
      <c r="F81" s="18"/>
    </row>
    <row r="82" spans="1:6" x14ac:dyDescent="0.35">
      <c r="A82" s="30">
        <v>11.2</v>
      </c>
      <c r="B82" s="10" t="s">
        <v>119</v>
      </c>
      <c r="C82" s="12" t="s">
        <v>10</v>
      </c>
      <c r="D82" s="67">
        <f>D47</f>
        <v>13000</v>
      </c>
      <c r="E82" s="19">
        <v>0.98</v>
      </c>
      <c r="F82" s="20">
        <f>D82*E82</f>
        <v>12740</v>
      </c>
    </row>
    <row r="83" spans="1:6" x14ac:dyDescent="0.35">
      <c r="A83" s="30">
        <v>11.3</v>
      </c>
      <c r="B83" s="10" t="s">
        <v>120</v>
      </c>
      <c r="C83" s="12" t="s">
        <v>10</v>
      </c>
      <c r="D83" s="67">
        <f>SUM(4*4500)</f>
        <v>18000</v>
      </c>
      <c r="E83" s="19">
        <v>0.98</v>
      </c>
      <c r="F83" s="20">
        <f>D83*E83</f>
        <v>17640</v>
      </c>
    </row>
    <row r="84" spans="1:6" x14ac:dyDescent="0.35">
      <c r="A84" s="30"/>
      <c r="B84" s="11" t="s">
        <v>54</v>
      </c>
      <c r="C84" s="12"/>
      <c r="D84" s="67"/>
      <c r="E84" s="17"/>
      <c r="F84" s="18"/>
    </row>
    <row r="85" spans="1:6" x14ac:dyDescent="0.35">
      <c r="A85" s="30">
        <v>11.4</v>
      </c>
      <c r="B85" s="10" t="s">
        <v>53</v>
      </c>
      <c r="C85" s="12" t="s">
        <v>10</v>
      </c>
      <c r="D85" s="67">
        <f>D54</f>
        <v>75000</v>
      </c>
      <c r="E85" s="17"/>
      <c r="F85" s="18"/>
    </row>
    <row r="86" spans="1:6" x14ac:dyDescent="0.35">
      <c r="A86" s="79">
        <v>11.5</v>
      </c>
      <c r="B86" s="80" t="s">
        <v>116</v>
      </c>
      <c r="C86" s="81" t="s">
        <v>10</v>
      </c>
      <c r="D86" s="86">
        <f>D85</f>
        <v>75000</v>
      </c>
      <c r="E86" s="83">
        <v>0.85</v>
      </c>
      <c r="F86" s="84">
        <f>D86*E86</f>
        <v>63750</v>
      </c>
    </row>
    <row r="87" spans="1:6" x14ac:dyDescent="0.35">
      <c r="A87" s="30"/>
      <c r="B87" s="11" t="s">
        <v>55</v>
      </c>
      <c r="C87" s="12"/>
      <c r="D87" s="67"/>
      <c r="E87" s="17"/>
      <c r="F87" s="18"/>
    </row>
    <row r="88" spans="1:6" x14ac:dyDescent="0.35">
      <c r="A88" s="30">
        <v>11.6</v>
      </c>
      <c r="B88" s="10" t="s">
        <v>53</v>
      </c>
      <c r="C88" s="12" t="s">
        <v>10</v>
      </c>
      <c r="D88" s="67">
        <f>SUM(11*43560)-D81-D85-D70-D60</f>
        <v>354660</v>
      </c>
      <c r="E88" s="17"/>
      <c r="F88" s="18"/>
    </row>
    <row r="89" spans="1:6" x14ac:dyDescent="0.35">
      <c r="A89" s="79">
        <v>11.7</v>
      </c>
      <c r="B89" s="80" t="s">
        <v>117</v>
      </c>
      <c r="C89" s="81" t="s">
        <v>10</v>
      </c>
      <c r="D89" s="86">
        <f>SUM(D88*0.4)</f>
        <v>141864</v>
      </c>
      <c r="E89" s="83">
        <v>0.85</v>
      </c>
      <c r="F89" s="84">
        <f>D89*E89</f>
        <v>120584.4</v>
      </c>
    </row>
    <row r="90" spans="1:6" x14ac:dyDescent="0.35">
      <c r="A90" s="79">
        <v>11.8</v>
      </c>
      <c r="B90" s="80" t="s">
        <v>118</v>
      </c>
      <c r="C90" s="81" t="s">
        <v>10</v>
      </c>
      <c r="D90" s="86">
        <f>SUM(D88-D89)</f>
        <v>212796</v>
      </c>
      <c r="E90" s="83">
        <v>0.32</v>
      </c>
      <c r="F90" s="84">
        <f>D90*E90</f>
        <v>68094.720000000001</v>
      </c>
    </row>
    <row r="91" spans="1:6" x14ac:dyDescent="0.35">
      <c r="A91" s="10"/>
      <c r="B91" s="10"/>
      <c r="C91" s="12"/>
      <c r="D91" s="67"/>
      <c r="E91" s="26" t="s">
        <v>56</v>
      </c>
      <c r="F91" s="24">
        <f>SUM(F82:F90)</f>
        <v>282809.12</v>
      </c>
    </row>
    <row r="92" spans="1:6" x14ac:dyDescent="0.35">
      <c r="E92"/>
      <c r="F92"/>
    </row>
    <row r="93" spans="1:6" x14ac:dyDescent="0.35">
      <c r="E93"/>
      <c r="F93"/>
    </row>
    <row r="94" spans="1:6" x14ac:dyDescent="0.35">
      <c r="E94"/>
      <c r="F94" s="16"/>
    </row>
    <row r="95" spans="1:6" x14ac:dyDescent="0.35">
      <c r="E95"/>
      <c r="F95"/>
    </row>
    <row r="96" spans="1:6" x14ac:dyDescent="0.35">
      <c r="E96"/>
      <c r="F96"/>
    </row>
    <row r="97" spans="5:6" x14ac:dyDescent="0.35">
      <c r="E97"/>
      <c r="F97"/>
    </row>
    <row r="98" spans="5:6" x14ac:dyDescent="0.35">
      <c r="E98"/>
      <c r="F98"/>
    </row>
    <row r="99" spans="5:6" x14ac:dyDescent="0.35">
      <c r="E99"/>
      <c r="F99"/>
    </row>
    <row r="100" spans="5:6" x14ac:dyDescent="0.35">
      <c r="E100"/>
      <c r="F100"/>
    </row>
    <row r="101" spans="5:6" x14ac:dyDescent="0.35">
      <c r="E101"/>
      <c r="F101"/>
    </row>
    <row r="102" spans="5:6" x14ac:dyDescent="0.35">
      <c r="E102"/>
      <c r="F102"/>
    </row>
    <row r="103" spans="5:6" x14ac:dyDescent="0.35">
      <c r="E103"/>
      <c r="F103"/>
    </row>
    <row r="104" spans="5:6" x14ac:dyDescent="0.35">
      <c r="E104"/>
      <c r="F104"/>
    </row>
    <row r="105" spans="5:6" x14ac:dyDescent="0.35">
      <c r="E105"/>
      <c r="F105"/>
    </row>
    <row r="106" spans="5:6" x14ac:dyDescent="0.35">
      <c r="E106"/>
      <c r="F106"/>
    </row>
    <row r="107" spans="5:6" x14ac:dyDescent="0.35">
      <c r="E107"/>
      <c r="F107"/>
    </row>
    <row r="108" spans="5:6" x14ac:dyDescent="0.35">
      <c r="E108"/>
      <c r="F108"/>
    </row>
    <row r="109" spans="5:6" x14ac:dyDescent="0.35">
      <c r="E109"/>
      <c r="F109"/>
    </row>
    <row r="110" spans="5:6" x14ac:dyDescent="0.35">
      <c r="E110"/>
      <c r="F110"/>
    </row>
    <row r="111" spans="5:6" x14ac:dyDescent="0.35">
      <c r="E111"/>
      <c r="F111"/>
    </row>
    <row r="112" spans="5:6" x14ac:dyDescent="0.35">
      <c r="E112"/>
      <c r="F112"/>
    </row>
    <row r="113" spans="5:6" x14ac:dyDescent="0.35">
      <c r="E113"/>
      <c r="F113"/>
    </row>
    <row r="114" spans="5:6" x14ac:dyDescent="0.35">
      <c r="E114"/>
      <c r="F114"/>
    </row>
    <row r="115" spans="5:6" x14ac:dyDescent="0.35">
      <c r="E115"/>
      <c r="F115"/>
    </row>
    <row r="116" spans="5:6" x14ac:dyDescent="0.35">
      <c r="E116"/>
      <c r="F116"/>
    </row>
    <row r="117" spans="5:6" x14ac:dyDescent="0.35">
      <c r="E117"/>
      <c r="F117"/>
    </row>
    <row r="118" spans="5:6" x14ac:dyDescent="0.35">
      <c r="E118"/>
      <c r="F118"/>
    </row>
    <row r="119" spans="5:6" x14ac:dyDescent="0.35">
      <c r="E119"/>
      <c r="F119"/>
    </row>
    <row r="120" spans="5:6" x14ac:dyDescent="0.35">
      <c r="E120"/>
      <c r="F120"/>
    </row>
    <row r="121" spans="5:6" x14ac:dyDescent="0.35">
      <c r="E121"/>
      <c r="F121"/>
    </row>
    <row r="122" spans="5:6" x14ac:dyDescent="0.35">
      <c r="E122"/>
      <c r="F122"/>
    </row>
    <row r="123" spans="5:6" x14ac:dyDescent="0.35">
      <c r="E123"/>
      <c r="F123"/>
    </row>
    <row r="124" spans="5:6" x14ac:dyDescent="0.35">
      <c r="E124"/>
      <c r="F124"/>
    </row>
    <row r="125" spans="5:6" x14ac:dyDescent="0.35">
      <c r="E125"/>
      <c r="F125"/>
    </row>
    <row r="126" spans="5:6" x14ac:dyDescent="0.35">
      <c r="E126"/>
      <c r="F126"/>
    </row>
    <row r="127" spans="5:6" x14ac:dyDescent="0.35">
      <c r="E127"/>
      <c r="F127"/>
    </row>
    <row r="128" spans="5:6" x14ac:dyDescent="0.35">
      <c r="E128"/>
      <c r="F128"/>
    </row>
    <row r="129" spans="5:6" x14ac:dyDescent="0.35">
      <c r="E129"/>
      <c r="F129"/>
    </row>
    <row r="130" spans="5:6" x14ac:dyDescent="0.35">
      <c r="E130"/>
      <c r="F130"/>
    </row>
    <row r="131" spans="5:6" x14ac:dyDescent="0.35">
      <c r="E131"/>
      <c r="F131"/>
    </row>
    <row r="132" spans="5:6" x14ac:dyDescent="0.35">
      <c r="E132"/>
      <c r="F132"/>
    </row>
    <row r="133" spans="5:6" x14ac:dyDescent="0.35">
      <c r="E133"/>
      <c r="F133"/>
    </row>
    <row r="134" spans="5:6" x14ac:dyDescent="0.35">
      <c r="E134"/>
      <c r="F134"/>
    </row>
    <row r="135" spans="5:6" x14ac:dyDescent="0.35">
      <c r="E135"/>
      <c r="F135"/>
    </row>
    <row r="136" spans="5:6" x14ac:dyDescent="0.35">
      <c r="E136"/>
      <c r="F136"/>
    </row>
    <row r="137" spans="5:6" x14ac:dyDescent="0.35">
      <c r="E137"/>
      <c r="F137"/>
    </row>
    <row r="138" spans="5:6" x14ac:dyDescent="0.35">
      <c r="E138"/>
      <c r="F138"/>
    </row>
    <row r="139" spans="5:6" x14ac:dyDescent="0.35">
      <c r="E139"/>
      <c r="F139"/>
    </row>
    <row r="140" spans="5:6" x14ac:dyDescent="0.35">
      <c r="E140"/>
      <c r="F140"/>
    </row>
    <row r="141" spans="5:6" x14ac:dyDescent="0.35">
      <c r="E141"/>
      <c r="F141"/>
    </row>
    <row r="142" spans="5:6" x14ac:dyDescent="0.35">
      <c r="E142"/>
      <c r="F142"/>
    </row>
    <row r="143" spans="5:6" x14ac:dyDescent="0.35">
      <c r="E143"/>
      <c r="F143"/>
    </row>
    <row r="144" spans="5:6" x14ac:dyDescent="0.35">
      <c r="E144"/>
      <c r="F144"/>
    </row>
    <row r="145" spans="5:6" x14ac:dyDescent="0.35">
      <c r="E145"/>
      <c r="F145"/>
    </row>
    <row r="146" spans="5:6" x14ac:dyDescent="0.35">
      <c r="E146"/>
      <c r="F146"/>
    </row>
    <row r="147" spans="5:6" x14ac:dyDescent="0.35">
      <c r="E147"/>
      <c r="F147"/>
    </row>
    <row r="148" spans="5:6" x14ac:dyDescent="0.35">
      <c r="E148"/>
      <c r="F148"/>
    </row>
    <row r="149" spans="5:6" x14ac:dyDescent="0.35">
      <c r="E149"/>
      <c r="F149"/>
    </row>
    <row r="150" spans="5:6" x14ac:dyDescent="0.35">
      <c r="E150"/>
      <c r="F150"/>
    </row>
    <row r="151" spans="5:6" x14ac:dyDescent="0.35">
      <c r="E151"/>
      <c r="F151"/>
    </row>
    <row r="152" spans="5:6" x14ac:dyDescent="0.35">
      <c r="E152"/>
      <c r="F152"/>
    </row>
    <row r="153" spans="5:6" x14ac:dyDescent="0.35">
      <c r="E153"/>
      <c r="F153"/>
    </row>
    <row r="154" spans="5:6" x14ac:dyDescent="0.35">
      <c r="E154"/>
      <c r="F154"/>
    </row>
    <row r="155" spans="5:6" x14ac:dyDescent="0.35">
      <c r="E155"/>
      <c r="F155"/>
    </row>
    <row r="156" spans="5:6" x14ac:dyDescent="0.35">
      <c r="E156"/>
      <c r="F156"/>
    </row>
    <row r="157" spans="5:6" x14ac:dyDescent="0.35">
      <c r="E157"/>
      <c r="F157"/>
    </row>
    <row r="158" spans="5:6" x14ac:dyDescent="0.35">
      <c r="E158"/>
      <c r="F158"/>
    </row>
    <row r="159" spans="5:6" x14ac:dyDescent="0.35">
      <c r="E159"/>
      <c r="F159"/>
    </row>
    <row r="160" spans="5:6" x14ac:dyDescent="0.35">
      <c r="E160"/>
      <c r="F160"/>
    </row>
    <row r="161" spans="5:6" x14ac:dyDescent="0.35">
      <c r="E161"/>
      <c r="F161"/>
    </row>
    <row r="162" spans="5:6" x14ac:dyDescent="0.35">
      <c r="E162"/>
      <c r="F162"/>
    </row>
    <row r="163" spans="5:6" x14ac:dyDescent="0.35">
      <c r="E163"/>
      <c r="F163"/>
    </row>
    <row r="164" spans="5:6" x14ac:dyDescent="0.35">
      <c r="E164"/>
      <c r="F164"/>
    </row>
    <row r="165" spans="5:6" x14ac:dyDescent="0.35">
      <c r="E165"/>
      <c r="F165"/>
    </row>
    <row r="166" spans="5:6" x14ac:dyDescent="0.35">
      <c r="E166"/>
      <c r="F166"/>
    </row>
    <row r="167" spans="5:6" x14ac:dyDescent="0.35">
      <c r="E167"/>
      <c r="F167"/>
    </row>
    <row r="168" spans="5:6" x14ac:dyDescent="0.35">
      <c r="E168"/>
      <c r="F168"/>
    </row>
    <row r="169" spans="5:6" x14ac:dyDescent="0.35">
      <c r="E169"/>
      <c r="F169"/>
    </row>
    <row r="170" spans="5:6" x14ac:dyDescent="0.35">
      <c r="E170"/>
      <c r="F170"/>
    </row>
    <row r="171" spans="5:6" x14ac:dyDescent="0.35">
      <c r="E171"/>
      <c r="F171"/>
    </row>
    <row r="172" spans="5:6" x14ac:dyDescent="0.35">
      <c r="E172"/>
      <c r="F172"/>
    </row>
    <row r="173" spans="5:6" x14ac:dyDescent="0.35">
      <c r="E173"/>
      <c r="F173"/>
    </row>
    <row r="174" spans="5:6" x14ac:dyDescent="0.35">
      <c r="E174"/>
      <c r="F174"/>
    </row>
    <row r="175" spans="5:6" x14ac:dyDescent="0.35">
      <c r="E175"/>
      <c r="F175"/>
    </row>
    <row r="176" spans="5:6" x14ac:dyDescent="0.35">
      <c r="E176"/>
      <c r="F176"/>
    </row>
    <row r="177" spans="5:6" x14ac:dyDescent="0.35">
      <c r="E177"/>
      <c r="F177"/>
    </row>
    <row r="178" spans="5:6" x14ac:dyDescent="0.35">
      <c r="E178"/>
      <c r="F178"/>
    </row>
    <row r="179" spans="5:6" x14ac:dyDescent="0.35">
      <c r="E179"/>
      <c r="F179"/>
    </row>
    <row r="180" spans="5:6" x14ac:dyDescent="0.35">
      <c r="E180"/>
      <c r="F180"/>
    </row>
    <row r="181" spans="5:6" x14ac:dyDescent="0.35">
      <c r="E181"/>
      <c r="F181"/>
    </row>
    <row r="182" spans="5:6" x14ac:dyDescent="0.35">
      <c r="E182"/>
      <c r="F182"/>
    </row>
    <row r="183" spans="5:6" x14ac:dyDescent="0.35">
      <c r="E183"/>
      <c r="F183"/>
    </row>
    <row r="184" spans="5:6" x14ac:dyDescent="0.35">
      <c r="E184"/>
      <c r="F184"/>
    </row>
    <row r="185" spans="5:6" x14ac:dyDescent="0.35">
      <c r="E185"/>
      <c r="F185"/>
    </row>
    <row r="186" spans="5:6" x14ac:dyDescent="0.35">
      <c r="E186"/>
      <c r="F186"/>
    </row>
  </sheetData>
  <mergeCells count="2">
    <mergeCell ref="A1:F1"/>
    <mergeCell ref="B75:D75"/>
  </mergeCells>
  <pageMargins left="0.7" right="0.7" top="0.75" bottom="0.75" header="0.3" footer="0.3"/>
  <pageSetup scale="26" fitToWidth="0" orientation="landscape" r:id="rId1"/>
  <rowBreaks count="3" manualBreakCount="3">
    <brk id="13" max="5" man="1"/>
    <brk id="33" max="16383" man="1"/>
    <brk id="65"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C2630-B0E8-47FF-B15A-B699CBD47231}">
  <dimension ref="A1:G184"/>
  <sheetViews>
    <sheetView topLeftCell="A76" zoomScale="140" zoomScaleNormal="140" workbookViewId="0">
      <selection activeCell="E88" sqref="E88"/>
    </sheetView>
  </sheetViews>
  <sheetFormatPr defaultRowHeight="14.5" x14ac:dyDescent="0.35"/>
  <cols>
    <col min="1" max="1" width="9.54296875" customWidth="1"/>
    <col min="2" max="2" width="79.81640625" customWidth="1"/>
    <col min="3" max="3" width="5.54296875" style="5" customWidth="1"/>
    <col min="4" max="4" width="17.54296875" style="73" customWidth="1"/>
    <col min="5" max="5" width="15.54296875" style="15" customWidth="1"/>
    <col min="6" max="6" width="16.453125" style="15" customWidth="1"/>
  </cols>
  <sheetData>
    <row r="1" spans="1:6" ht="21" x14ac:dyDescent="0.5">
      <c r="A1" s="112" t="s">
        <v>84</v>
      </c>
      <c r="B1" s="113"/>
      <c r="C1" s="113"/>
      <c r="D1" s="113"/>
      <c r="E1" s="113"/>
      <c r="F1" s="113"/>
    </row>
    <row r="2" spans="1:6" x14ac:dyDescent="0.35">
      <c r="A2" s="6"/>
      <c r="B2" s="6"/>
      <c r="C2" s="6"/>
      <c r="D2" s="65"/>
      <c r="E2" s="6"/>
      <c r="F2" s="6"/>
    </row>
    <row r="3" spans="1:6" ht="29" x14ac:dyDescent="0.35">
      <c r="A3" s="8" t="s">
        <v>1</v>
      </c>
      <c r="B3" s="9" t="s">
        <v>2</v>
      </c>
      <c r="C3" s="9" t="s">
        <v>3</v>
      </c>
      <c r="D3" s="66" t="s">
        <v>79</v>
      </c>
      <c r="E3" s="8" t="s">
        <v>4</v>
      </c>
      <c r="F3" s="25" t="s">
        <v>5</v>
      </c>
    </row>
    <row r="4" spans="1:6" x14ac:dyDescent="0.35">
      <c r="A4" s="57">
        <v>1</v>
      </c>
      <c r="B4" s="11" t="s">
        <v>6</v>
      </c>
      <c r="C4" s="12"/>
      <c r="D4" s="67"/>
      <c r="E4" s="17"/>
      <c r="F4" s="18"/>
    </row>
    <row r="5" spans="1:6" ht="15" customHeight="1" x14ac:dyDescent="0.35">
      <c r="A5" s="30">
        <v>1.1000000000000001</v>
      </c>
      <c r="B5" s="10" t="s">
        <v>86</v>
      </c>
      <c r="C5" s="12" t="s">
        <v>7</v>
      </c>
      <c r="D5" s="68">
        <v>1</v>
      </c>
      <c r="E5" s="19">
        <v>50000</v>
      </c>
      <c r="F5" s="20">
        <f>D5*E5</f>
        <v>50000</v>
      </c>
    </row>
    <row r="6" spans="1:6" ht="60" customHeight="1" x14ac:dyDescent="0.35">
      <c r="A6" s="79">
        <v>1.2</v>
      </c>
      <c r="B6" s="80" t="s">
        <v>74</v>
      </c>
      <c r="C6" s="81" t="s">
        <v>9</v>
      </c>
      <c r="D6" s="85">
        <v>2</v>
      </c>
      <c r="E6" s="83">
        <v>2150</v>
      </c>
      <c r="F6" s="84">
        <f>D6*E6</f>
        <v>4300</v>
      </c>
    </row>
    <row r="7" spans="1:6" ht="45" customHeight="1" x14ac:dyDescent="0.35">
      <c r="A7" s="30">
        <v>1.3</v>
      </c>
      <c r="B7" s="10" t="s">
        <v>112</v>
      </c>
      <c r="C7" s="12" t="s">
        <v>10</v>
      </c>
      <c r="D7" s="68">
        <v>20000</v>
      </c>
      <c r="E7" s="19">
        <v>0.7</v>
      </c>
      <c r="F7" s="20">
        <f t="shared" ref="F7:F10" si="0">D7*E7</f>
        <v>14000</v>
      </c>
    </row>
    <row r="8" spans="1:6" ht="43.5" x14ac:dyDescent="0.35">
      <c r="A8" s="30">
        <v>1.4</v>
      </c>
      <c r="B8" s="10" t="s">
        <v>11</v>
      </c>
      <c r="C8" s="12" t="s">
        <v>10</v>
      </c>
      <c r="D8" s="68">
        <v>0</v>
      </c>
      <c r="E8" s="19"/>
      <c r="F8" s="20">
        <f t="shared" si="0"/>
        <v>0</v>
      </c>
    </row>
    <row r="9" spans="1:6" ht="43.5" x14ac:dyDescent="0.35">
      <c r="A9" s="30">
        <v>1.5</v>
      </c>
      <c r="B9" s="10" t="s">
        <v>12</v>
      </c>
      <c r="C9" s="12" t="s">
        <v>10</v>
      </c>
      <c r="D9" s="68">
        <v>0</v>
      </c>
      <c r="E9" s="19"/>
      <c r="F9" s="20">
        <f t="shared" si="0"/>
        <v>0</v>
      </c>
    </row>
    <row r="10" spans="1:6" ht="15" thickBot="1" x14ac:dyDescent="0.4">
      <c r="A10" s="30">
        <v>1.6</v>
      </c>
      <c r="B10" s="10" t="s">
        <v>13</v>
      </c>
      <c r="C10" s="12" t="s">
        <v>14</v>
      </c>
      <c r="D10" s="68">
        <v>500</v>
      </c>
      <c r="E10" s="19">
        <v>6.62</v>
      </c>
      <c r="F10" s="20">
        <f t="shared" si="0"/>
        <v>3310</v>
      </c>
    </row>
    <row r="11" spans="1:6" ht="15" customHeight="1" thickBot="1" x14ac:dyDescent="0.4">
      <c r="A11" s="30"/>
      <c r="B11" s="10"/>
      <c r="C11" s="12"/>
      <c r="D11" s="67"/>
      <c r="E11" s="21" t="s">
        <v>15</v>
      </c>
      <c r="F11" s="22">
        <f>SUM(F5:F10)</f>
        <v>71610</v>
      </c>
    </row>
    <row r="12" spans="1:6" ht="15" customHeight="1" x14ac:dyDescent="0.35">
      <c r="A12" s="30"/>
      <c r="B12" s="10"/>
      <c r="C12" s="12"/>
      <c r="D12" s="67"/>
      <c r="E12" s="56"/>
      <c r="F12" s="55"/>
    </row>
    <row r="13" spans="1:6" ht="29" x14ac:dyDescent="0.35">
      <c r="A13" s="8" t="s">
        <v>1</v>
      </c>
      <c r="B13" s="9" t="s">
        <v>2</v>
      </c>
      <c r="C13" s="9" t="s">
        <v>3</v>
      </c>
      <c r="D13" s="66" t="s">
        <v>79</v>
      </c>
      <c r="E13" s="8" t="s">
        <v>4</v>
      </c>
      <c r="F13" s="25" t="s">
        <v>5</v>
      </c>
    </row>
    <row r="14" spans="1:6" x14ac:dyDescent="0.35">
      <c r="A14" s="57">
        <v>2</v>
      </c>
      <c r="B14" s="11" t="s">
        <v>64</v>
      </c>
      <c r="C14" s="12"/>
      <c r="D14" s="67"/>
      <c r="E14" s="17"/>
      <c r="F14" s="18"/>
    </row>
    <row r="15" spans="1:6" ht="60" customHeight="1" x14ac:dyDescent="0.35">
      <c r="A15" s="30">
        <v>2.1</v>
      </c>
      <c r="B15" s="10" t="s">
        <v>60</v>
      </c>
      <c r="C15" s="12" t="s">
        <v>16</v>
      </c>
      <c r="D15" s="68">
        <v>1000</v>
      </c>
      <c r="E15" s="19">
        <v>6.63</v>
      </c>
      <c r="F15" s="20">
        <f>D15*E15</f>
        <v>6630</v>
      </c>
    </row>
    <row r="16" spans="1:6" ht="29.5" thickBot="1" x14ac:dyDescent="0.4">
      <c r="A16" s="30">
        <v>2.2000000000000002</v>
      </c>
      <c r="B16" s="10" t="s">
        <v>17</v>
      </c>
      <c r="C16" s="12" t="s">
        <v>16</v>
      </c>
      <c r="D16" s="68">
        <v>500</v>
      </c>
      <c r="E16" s="19">
        <v>5.3</v>
      </c>
      <c r="F16" s="20">
        <f>D16*E16</f>
        <v>2650</v>
      </c>
    </row>
    <row r="17" spans="1:6" ht="15" thickBot="1" x14ac:dyDescent="0.4">
      <c r="A17" s="30"/>
      <c r="B17" s="10"/>
      <c r="C17" s="12"/>
      <c r="D17" s="67"/>
      <c r="E17" s="23" t="s">
        <v>18</v>
      </c>
      <c r="F17" s="22">
        <f>SUM(F15:F16)</f>
        <v>9280</v>
      </c>
    </row>
    <row r="18" spans="1:6" x14ac:dyDescent="0.35">
      <c r="A18" s="30"/>
      <c r="B18" s="10"/>
      <c r="C18" s="12"/>
      <c r="D18" s="67"/>
      <c r="E18" s="54"/>
      <c r="F18" s="55"/>
    </row>
    <row r="19" spans="1:6" ht="29" x14ac:dyDescent="0.35">
      <c r="A19" s="8" t="s">
        <v>1</v>
      </c>
      <c r="B19" s="9" t="s">
        <v>2</v>
      </c>
      <c r="C19" s="9" t="s">
        <v>3</v>
      </c>
      <c r="D19" s="66" t="s">
        <v>79</v>
      </c>
      <c r="E19" s="8" t="s">
        <v>4</v>
      </c>
      <c r="F19" s="25" t="s">
        <v>5</v>
      </c>
    </row>
    <row r="20" spans="1:6" ht="30" customHeight="1" x14ac:dyDescent="0.35">
      <c r="A20" s="57">
        <v>3</v>
      </c>
      <c r="B20" s="58" t="s">
        <v>19</v>
      </c>
      <c r="C20" s="59"/>
      <c r="D20" s="69"/>
      <c r="E20" s="17"/>
      <c r="F20" s="18"/>
    </row>
    <row r="21" spans="1:6" x14ac:dyDescent="0.35">
      <c r="A21" s="30">
        <v>3.1</v>
      </c>
      <c r="B21" s="10" t="s">
        <v>59</v>
      </c>
      <c r="C21" s="12" t="s">
        <v>14</v>
      </c>
      <c r="D21" s="68">
        <v>1500</v>
      </c>
      <c r="E21" s="19">
        <v>6.62</v>
      </c>
      <c r="F21" s="20">
        <f t="shared" ref="F21:F24" si="1">D21*E21</f>
        <v>9930</v>
      </c>
    </row>
    <row r="22" spans="1:6" x14ac:dyDescent="0.35">
      <c r="A22" s="30">
        <v>3.2</v>
      </c>
      <c r="B22" s="10" t="s">
        <v>20</v>
      </c>
      <c r="C22" s="12" t="s">
        <v>14</v>
      </c>
      <c r="D22" s="68">
        <v>0</v>
      </c>
      <c r="E22" s="19"/>
      <c r="F22" s="20">
        <f t="shared" si="1"/>
        <v>0</v>
      </c>
    </row>
    <row r="23" spans="1:6" x14ac:dyDescent="0.35">
      <c r="A23" s="30">
        <v>3.3</v>
      </c>
      <c r="B23" s="10" t="s">
        <v>21</v>
      </c>
      <c r="C23" s="12" t="s">
        <v>14</v>
      </c>
      <c r="D23" s="68">
        <v>500</v>
      </c>
      <c r="E23" s="19">
        <v>26.23</v>
      </c>
      <c r="F23" s="20">
        <f t="shared" si="1"/>
        <v>13115</v>
      </c>
    </row>
    <row r="24" spans="1:6" ht="15" thickBot="1" x14ac:dyDescent="0.4">
      <c r="A24" s="30">
        <v>3.4</v>
      </c>
      <c r="B24" s="10" t="s">
        <v>80</v>
      </c>
      <c r="C24" s="12" t="s">
        <v>22</v>
      </c>
      <c r="D24" s="68">
        <v>1</v>
      </c>
      <c r="E24" s="19">
        <v>4516.5200000000004</v>
      </c>
      <c r="F24" s="20">
        <f t="shared" si="1"/>
        <v>4516.5200000000004</v>
      </c>
    </row>
    <row r="25" spans="1:6" ht="15" customHeight="1" thickBot="1" x14ac:dyDescent="0.4">
      <c r="A25" s="30"/>
      <c r="B25" s="10"/>
      <c r="C25" s="12"/>
      <c r="D25" s="67"/>
      <c r="E25" s="23" t="s">
        <v>70</v>
      </c>
      <c r="F25" s="22">
        <f>SUM(F21:F24)</f>
        <v>27561.52</v>
      </c>
    </row>
    <row r="26" spans="1:6" ht="15" customHeight="1" x14ac:dyDescent="0.35">
      <c r="A26" s="30"/>
      <c r="B26" s="10"/>
      <c r="C26" s="12"/>
      <c r="D26" s="67"/>
      <c r="E26" s="54"/>
      <c r="F26" s="55"/>
    </row>
    <row r="27" spans="1:6" ht="29" x14ac:dyDescent="0.35">
      <c r="A27" s="8" t="s">
        <v>1</v>
      </c>
      <c r="B27" s="9" t="s">
        <v>2</v>
      </c>
      <c r="C27" s="9" t="s">
        <v>3</v>
      </c>
      <c r="D27" s="66" t="s">
        <v>79</v>
      </c>
      <c r="E27" s="8" t="s">
        <v>4</v>
      </c>
      <c r="F27" s="25" t="s">
        <v>5</v>
      </c>
    </row>
    <row r="28" spans="1:6" ht="19.5" customHeight="1" x14ac:dyDescent="0.35">
      <c r="A28" s="57">
        <v>4</v>
      </c>
      <c r="B28" s="11" t="s">
        <v>23</v>
      </c>
      <c r="C28" s="12"/>
      <c r="D28" s="67"/>
      <c r="E28" s="17"/>
      <c r="F28" s="18"/>
    </row>
    <row r="29" spans="1:6" ht="30" customHeight="1" x14ac:dyDescent="0.35">
      <c r="A29" s="30"/>
      <c r="B29" s="60" t="s">
        <v>101</v>
      </c>
      <c r="C29" s="10"/>
      <c r="D29" s="70"/>
      <c r="E29" s="10"/>
      <c r="F29" s="18"/>
    </row>
    <row r="30" spans="1:6" ht="43.5" x14ac:dyDescent="0.35">
      <c r="A30" s="88">
        <v>4.0999999999999996</v>
      </c>
      <c r="B30" s="87" t="s">
        <v>87</v>
      </c>
      <c r="C30" s="88" t="s">
        <v>9</v>
      </c>
      <c r="D30" s="89">
        <f>D6</f>
        <v>2</v>
      </c>
      <c r="E30" s="90">
        <v>7000</v>
      </c>
      <c r="F30" s="91">
        <f>D30*E30</f>
        <v>14000</v>
      </c>
    </row>
    <row r="31" spans="1:6" ht="15" customHeight="1" x14ac:dyDescent="0.35">
      <c r="A31" s="30"/>
      <c r="B31" s="10"/>
      <c r="C31" s="12"/>
      <c r="D31" s="67"/>
      <c r="E31" s="26" t="s">
        <v>24</v>
      </c>
      <c r="F31" s="24">
        <f>SUM(F30:F30)</f>
        <v>14000</v>
      </c>
    </row>
    <row r="32" spans="1:6" x14ac:dyDescent="0.35">
      <c r="A32" s="30"/>
      <c r="B32" s="10"/>
      <c r="C32" s="12"/>
      <c r="D32" s="67"/>
      <c r="E32" s="17"/>
      <c r="F32" s="18"/>
    </row>
    <row r="33" spans="1:6" ht="29" x14ac:dyDescent="0.35">
      <c r="A33" s="8" t="s">
        <v>1</v>
      </c>
      <c r="B33" s="9" t="s">
        <v>2</v>
      </c>
      <c r="C33" s="9" t="s">
        <v>3</v>
      </c>
      <c r="D33" s="66" t="s">
        <v>79</v>
      </c>
      <c r="E33" s="8" t="s">
        <v>4</v>
      </c>
      <c r="F33" s="25" t="s">
        <v>5</v>
      </c>
    </row>
    <row r="34" spans="1:6" x14ac:dyDescent="0.35">
      <c r="A34" s="57">
        <v>5</v>
      </c>
      <c r="B34" s="11" t="s">
        <v>25</v>
      </c>
      <c r="C34" s="12"/>
      <c r="D34" s="67"/>
      <c r="E34" s="17"/>
      <c r="F34" s="18"/>
    </row>
    <row r="35" spans="1:6" ht="43.5" x14ac:dyDescent="0.35">
      <c r="A35" s="30"/>
      <c r="B35" s="10" t="s">
        <v>26</v>
      </c>
      <c r="C35" s="12"/>
      <c r="D35" s="67"/>
      <c r="E35" s="17"/>
      <c r="F35" s="18"/>
    </row>
    <row r="36" spans="1:6" x14ac:dyDescent="0.35">
      <c r="A36" s="30">
        <v>5.0999999999999996</v>
      </c>
      <c r="B36" s="10" t="s">
        <v>27</v>
      </c>
      <c r="C36" s="12" t="s">
        <v>14</v>
      </c>
      <c r="D36" s="72">
        <v>1000</v>
      </c>
      <c r="E36" s="19">
        <v>14.22</v>
      </c>
      <c r="F36" s="20">
        <f t="shared" ref="F36:F40" si="2">D36*E36</f>
        <v>14220</v>
      </c>
    </row>
    <row r="37" spans="1:6" x14ac:dyDescent="0.35">
      <c r="A37" s="30">
        <v>5.2</v>
      </c>
      <c r="B37" s="10" t="s">
        <v>28</v>
      </c>
      <c r="C37" s="12" t="s">
        <v>14</v>
      </c>
      <c r="D37" s="72">
        <v>500</v>
      </c>
      <c r="E37" s="19">
        <v>18.7</v>
      </c>
      <c r="F37" s="20">
        <f t="shared" si="2"/>
        <v>9350</v>
      </c>
    </row>
    <row r="38" spans="1:6" ht="43.5" x14ac:dyDescent="0.35">
      <c r="A38" s="30">
        <v>5.3</v>
      </c>
      <c r="B38" s="10" t="s">
        <v>29</v>
      </c>
      <c r="C38" s="12" t="s">
        <v>14</v>
      </c>
      <c r="D38" s="72">
        <v>500</v>
      </c>
      <c r="E38" s="19">
        <v>21.8</v>
      </c>
      <c r="F38" s="20">
        <f t="shared" si="2"/>
        <v>10900</v>
      </c>
    </row>
    <row r="39" spans="1:6" ht="29" x14ac:dyDescent="0.35">
      <c r="A39" s="30">
        <v>5.4</v>
      </c>
      <c r="B39" s="10" t="s">
        <v>30</v>
      </c>
      <c r="C39" s="12" t="s">
        <v>8</v>
      </c>
      <c r="D39" s="72">
        <v>6</v>
      </c>
      <c r="E39" s="19">
        <v>552.35</v>
      </c>
      <c r="F39" s="20">
        <f t="shared" si="2"/>
        <v>3314.1000000000004</v>
      </c>
    </row>
    <row r="40" spans="1:6" ht="29" x14ac:dyDescent="0.35">
      <c r="A40" s="30">
        <v>5.5</v>
      </c>
      <c r="B40" s="10" t="s">
        <v>31</v>
      </c>
      <c r="C40" s="12" t="s">
        <v>8</v>
      </c>
      <c r="D40" s="72">
        <v>0</v>
      </c>
      <c r="E40" s="19"/>
      <c r="F40" s="20">
        <f t="shared" si="2"/>
        <v>0</v>
      </c>
    </row>
    <row r="41" spans="1:6" x14ac:dyDescent="0.35">
      <c r="A41" s="30"/>
      <c r="B41" s="10"/>
      <c r="C41" s="12"/>
      <c r="D41" s="67"/>
      <c r="E41" s="26" t="s">
        <v>32</v>
      </c>
      <c r="F41" s="24">
        <f>SUM(F36:F40)</f>
        <v>37784.1</v>
      </c>
    </row>
    <row r="42" spans="1:6" x14ac:dyDescent="0.35">
      <c r="A42" s="30"/>
      <c r="B42" s="10"/>
      <c r="C42" s="12"/>
      <c r="D42" s="67"/>
      <c r="E42" s="17"/>
      <c r="F42" s="18"/>
    </row>
    <row r="43" spans="1:6" x14ac:dyDescent="0.35">
      <c r="A43" s="57">
        <v>6</v>
      </c>
      <c r="B43" s="11" t="s">
        <v>109</v>
      </c>
      <c r="C43" s="12"/>
      <c r="D43" s="67"/>
      <c r="E43" s="17"/>
      <c r="F43" s="18"/>
    </row>
    <row r="44" spans="1:6" x14ac:dyDescent="0.35">
      <c r="A44" s="30">
        <v>6.1</v>
      </c>
      <c r="B44" s="10" t="s">
        <v>34</v>
      </c>
      <c r="C44" s="12" t="s">
        <v>14</v>
      </c>
      <c r="D44" s="72">
        <f>SUM(D46*0.15)</f>
        <v>4500</v>
      </c>
      <c r="E44" s="19">
        <v>18</v>
      </c>
      <c r="F44" s="20">
        <f t="shared" ref="F44:F45" si="3">D44*E44</f>
        <v>81000</v>
      </c>
    </row>
    <row r="45" spans="1:6" x14ac:dyDescent="0.35">
      <c r="A45" s="30">
        <v>6.2</v>
      </c>
      <c r="B45" s="10" t="s">
        <v>35</v>
      </c>
      <c r="C45" s="12" t="s">
        <v>14</v>
      </c>
      <c r="D45" s="72">
        <v>500</v>
      </c>
      <c r="E45" s="19">
        <v>13.16</v>
      </c>
      <c r="F45" s="20">
        <f t="shared" si="3"/>
        <v>6580</v>
      </c>
    </row>
    <row r="46" spans="1:6" x14ac:dyDescent="0.35">
      <c r="A46" s="30">
        <v>6.3</v>
      </c>
      <c r="B46" s="10" t="s">
        <v>75</v>
      </c>
      <c r="C46" s="12" t="s">
        <v>10</v>
      </c>
      <c r="D46" s="72">
        <f>SUM(20000+10000)</f>
        <v>30000</v>
      </c>
      <c r="E46" s="19">
        <v>1.81</v>
      </c>
      <c r="F46" s="20">
        <f>D46*E46</f>
        <v>54300</v>
      </c>
    </row>
    <row r="47" spans="1:6" x14ac:dyDescent="0.35">
      <c r="A47" s="30">
        <v>6.4</v>
      </c>
      <c r="B47" s="10" t="s">
        <v>76</v>
      </c>
      <c r="C47" s="12" t="s">
        <v>10</v>
      </c>
      <c r="D47" s="72">
        <f>D46</f>
        <v>30000</v>
      </c>
      <c r="E47" s="19">
        <v>6.72</v>
      </c>
      <c r="F47" s="20">
        <f>D47*E47</f>
        <v>201600</v>
      </c>
    </row>
    <row r="48" spans="1:6" x14ac:dyDescent="0.35">
      <c r="A48" s="61">
        <v>6.5</v>
      </c>
      <c r="B48" s="75" t="s">
        <v>89</v>
      </c>
      <c r="C48" s="76" t="s">
        <v>14</v>
      </c>
      <c r="D48" s="78">
        <v>1200</v>
      </c>
      <c r="E48" s="77">
        <v>4.84</v>
      </c>
      <c r="F48" s="20">
        <f>D48*E48</f>
        <v>5808</v>
      </c>
    </row>
    <row r="49" spans="1:6" x14ac:dyDescent="0.35">
      <c r="A49" s="30"/>
      <c r="B49" s="10"/>
      <c r="C49" s="12"/>
      <c r="D49" s="67"/>
      <c r="E49" s="26" t="s">
        <v>36</v>
      </c>
      <c r="F49" s="24">
        <f>SUM(F44:F48)</f>
        <v>349288</v>
      </c>
    </row>
    <row r="50" spans="1:6" x14ac:dyDescent="0.35">
      <c r="A50" s="30"/>
      <c r="B50" s="10"/>
      <c r="C50" s="12"/>
      <c r="D50" s="67"/>
      <c r="E50" s="17"/>
      <c r="F50" s="18"/>
    </row>
    <row r="51" spans="1:6" x14ac:dyDescent="0.35">
      <c r="A51" s="92">
        <v>7</v>
      </c>
      <c r="B51" s="93" t="s">
        <v>122</v>
      </c>
      <c r="C51" s="81"/>
      <c r="D51" s="86"/>
      <c r="E51" s="94"/>
      <c r="F51" s="95"/>
    </row>
    <row r="52" spans="1:6" ht="29" x14ac:dyDescent="0.35">
      <c r="A52" s="79">
        <v>7.1</v>
      </c>
      <c r="B52" s="80" t="s">
        <v>38</v>
      </c>
      <c r="C52" s="81" t="s">
        <v>14</v>
      </c>
      <c r="D52" s="82">
        <f>SUM(D53*0.15)</f>
        <v>1200</v>
      </c>
      <c r="E52" s="83">
        <v>19.14</v>
      </c>
      <c r="F52" s="84">
        <f>D52*E52</f>
        <v>22968</v>
      </c>
    </row>
    <row r="53" spans="1:6" ht="29" x14ac:dyDescent="0.35">
      <c r="A53" s="79">
        <v>7.2</v>
      </c>
      <c r="B53" s="80" t="s">
        <v>90</v>
      </c>
      <c r="C53" s="81" t="s">
        <v>10</v>
      </c>
      <c r="D53" s="82">
        <v>8000</v>
      </c>
      <c r="E53" s="83">
        <v>1.01</v>
      </c>
      <c r="F53" s="84">
        <f>D53*E53</f>
        <v>8080</v>
      </c>
    </row>
    <row r="54" spans="1:6" ht="15" customHeight="1" x14ac:dyDescent="0.35">
      <c r="A54" s="79">
        <v>7.3</v>
      </c>
      <c r="B54" s="80" t="s">
        <v>39</v>
      </c>
      <c r="C54" s="81" t="s">
        <v>14</v>
      </c>
      <c r="D54" s="82">
        <v>250</v>
      </c>
      <c r="E54" s="83">
        <v>14.2</v>
      </c>
      <c r="F54" s="84">
        <f>D54*E54</f>
        <v>3550</v>
      </c>
    </row>
    <row r="55" spans="1:6" x14ac:dyDescent="0.35">
      <c r="A55" s="79">
        <v>7.4</v>
      </c>
      <c r="B55" s="80" t="s">
        <v>40</v>
      </c>
      <c r="C55" s="81" t="s">
        <v>10</v>
      </c>
      <c r="D55" s="82">
        <f>D53</f>
        <v>8000</v>
      </c>
      <c r="E55" s="83">
        <v>0.16</v>
      </c>
      <c r="F55" s="84">
        <f>D55*E55</f>
        <v>1280</v>
      </c>
    </row>
    <row r="56" spans="1:6" x14ac:dyDescent="0.35">
      <c r="A56" s="79"/>
      <c r="B56" s="80"/>
      <c r="C56" s="81"/>
      <c r="D56" s="86"/>
      <c r="E56" s="96" t="s">
        <v>41</v>
      </c>
      <c r="F56" s="97">
        <f>SUM(F52:F55)</f>
        <v>35878</v>
      </c>
    </row>
    <row r="57" spans="1:6" x14ac:dyDescent="0.35">
      <c r="A57" s="30"/>
      <c r="B57" s="10"/>
      <c r="C57" s="12"/>
      <c r="D57" s="67"/>
      <c r="E57" s="17"/>
      <c r="F57" s="18"/>
    </row>
    <row r="58" spans="1:6" x14ac:dyDescent="0.35">
      <c r="A58" s="57">
        <v>8</v>
      </c>
      <c r="B58" s="11" t="s">
        <v>77</v>
      </c>
      <c r="C58" s="12"/>
      <c r="D58" s="67"/>
      <c r="E58" s="17"/>
      <c r="F58" s="18"/>
    </row>
    <row r="59" spans="1:6" x14ac:dyDescent="0.35">
      <c r="A59" s="30">
        <v>8.1</v>
      </c>
      <c r="B59" s="10" t="s">
        <v>43</v>
      </c>
      <c r="C59" s="12" t="s">
        <v>10</v>
      </c>
      <c r="D59" s="72">
        <v>0</v>
      </c>
      <c r="E59" s="19"/>
      <c r="F59" s="20">
        <f>D59*E59</f>
        <v>0</v>
      </c>
    </row>
    <row r="60" spans="1:6" x14ac:dyDescent="0.35">
      <c r="A60" s="30">
        <v>8.1999999999999993</v>
      </c>
      <c r="B60" s="10" t="s">
        <v>57</v>
      </c>
      <c r="C60" s="12" t="s">
        <v>14</v>
      </c>
      <c r="D60" s="72">
        <f>D62*0.085</f>
        <v>0</v>
      </c>
      <c r="E60" s="19"/>
      <c r="F60" s="20">
        <f>D60*E60</f>
        <v>0</v>
      </c>
    </row>
    <row r="61" spans="1:6" x14ac:dyDescent="0.35">
      <c r="A61" s="30">
        <v>8.3000000000000007</v>
      </c>
      <c r="B61" s="10" t="s">
        <v>58</v>
      </c>
      <c r="C61" s="12" t="s">
        <v>14</v>
      </c>
      <c r="D61" s="72">
        <f>D59*0.0372</f>
        <v>0</v>
      </c>
      <c r="E61" s="19"/>
      <c r="F61" s="20">
        <f>D61*E61</f>
        <v>0</v>
      </c>
    </row>
    <row r="62" spans="1:6" x14ac:dyDescent="0.35">
      <c r="A62" s="30">
        <v>8.4</v>
      </c>
      <c r="B62" s="62" t="s">
        <v>92</v>
      </c>
      <c r="C62" s="12" t="s">
        <v>10</v>
      </c>
      <c r="D62" s="72">
        <f>D59</f>
        <v>0</v>
      </c>
      <c r="E62" s="19"/>
      <c r="F62" s="20">
        <f>D62*E62</f>
        <v>0</v>
      </c>
    </row>
    <row r="63" spans="1:6" ht="29" x14ac:dyDescent="0.35">
      <c r="A63" s="30">
        <v>8.5</v>
      </c>
      <c r="B63" s="10" t="s">
        <v>93</v>
      </c>
      <c r="C63" s="12" t="s">
        <v>10</v>
      </c>
      <c r="D63" s="72">
        <f>D62</f>
        <v>0</v>
      </c>
      <c r="E63" s="19"/>
      <c r="F63" s="20">
        <f>D63*E63</f>
        <v>0</v>
      </c>
    </row>
    <row r="64" spans="1:6" x14ac:dyDescent="0.35">
      <c r="A64" s="30"/>
      <c r="B64" s="10"/>
      <c r="C64" s="12"/>
      <c r="D64" s="67"/>
      <c r="E64" s="27" t="s">
        <v>44</v>
      </c>
      <c r="F64" s="28">
        <f>SUM(F59:F63)</f>
        <v>0</v>
      </c>
    </row>
    <row r="65" spans="1:6" x14ac:dyDescent="0.35">
      <c r="A65" s="30"/>
      <c r="B65" s="10"/>
      <c r="C65" s="12"/>
      <c r="D65" s="67"/>
      <c r="E65" s="27"/>
      <c r="F65" s="28"/>
    </row>
    <row r="66" spans="1:6" ht="29" x14ac:dyDescent="0.35">
      <c r="A66" s="8" t="s">
        <v>1</v>
      </c>
      <c r="B66" s="14" t="s">
        <v>2</v>
      </c>
      <c r="C66" s="14" t="s">
        <v>3</v>
      </c>
      <c r="D66" s="66" t="s">
        <v>79</v>
      </c>
      <c r="E66" s="13" t="s">
        <v>4</v>
      </c>
      <c r="F66" s="29" t="s">
        <v>5</v>
      </c>
    </row>
    <row r="67" spans="1:6" x14ac:dyDescent="0.35">
      <c r="A67" s="57">
        <v>9</v>
      </c>
      <c r="B67" s="11" t="s">
        <v>71</v>
      </c>
      <c r="C67" s="12"/>
      <c r="D67" s="67"/>
      <c r="E67" s="17"/>
      <c r="F67" s="18"/>
    </row>
    <row r="68" spans="1:6" x14ac:dyDescent="0.35">
      <c r="A68" s="30">
        <v>9.1</v>
      </c>
      <c r="B68" s="10" t="s">
        <v>45</v>
      </c>
      <c r="C68" s="12" t="s">
        <v>8</v>
      </c>
      <c r="D68" s="72">
        <v>2</v>
      </c>
      <c r="E68" s="19">
        <v>504.46</v>
      </c>
      <c r="F68" s="20">
        <f>D68*E68</f>
        <v>1008.92</v>
      </c>
    </row>
    <row r="69" spans="1:6" ht="29" x14ac:dyDescent="0.35">
      <c r="A69" s="30">
        <v>9.1999999999999993</v>
      </c>
      <c r="B69" s="10" t="s">
        <v>99</v>
      </c>
      <c r="C69" s="12" t="s">
        <v>10</v>
      </c>
      <c r="D69" s="72">
        <f>SUM(175*8)</f>
        <v>1400</v>
      </c>
      <c r="E69" s="19">
        <v>9.86</v>
      </c>
      <c r="F69" s="20">
        <f>D69*E69</f>
        <v>13804</v>
      </c>
    </row>
    <row r="70" spans="1:6" x14ac:dyDescent="0.35">
      <c r="A70" s="30">
        <v>9.3000000000000007</v>
      </c>
      <c r="B70" s="10" t="s">
        <v>46</v>
      </c>
      <c r="C70" s="12" t="s">
        <v>14</v>
      </c>
      <c r="D70" s="72">
        <v>300</v>
      </c>
      <c r="E70" s="19">
        <v>9.2200000000000006</v>
      </c>
      <c r="F70" s="20">
        <f>D70*E70</f>
        <v>2766</v>
      </c>
    </row>
    <row r="71" spans="1:6" x14ac:dyDescent="0.35">
      <c r="A71" s="30"/>
      <c r="B71" s="10"/>
      <c r="C71" s="12"/>
      <c r="D71" s="67"/>
      <c r="E71" s="26" t="s">
        <v>47</v>
      </c>
      <c r="F71" s="24">
        <f>SUM(F68:F70)</f>
        <v>17578.919999999998</v>
      </c>
    </row>
    <row r="72" spans="1:6" x14ac:dyDescent="0.35">
      <c r="A72" s="30"/>
      <c r="B72" s="10"/>
      <c r="C72" s="12"/>
      <c r="D72" s="67"/>
      <c r="E72" s="17"/>
      <c r="F72" s="18"/>
    </row>
    <row r="73" spans="1:6" x14ac:dyDescent="0.35">
      <c r="A73" s="57">
        <v>10</v>
      </c>
      <c r="B73" s="11" t="s">
        <v>48</v>
      </c>
      <c r="C73" s="12"/>
      <c r="D73" s="67"/>
      <c r="E73" s="17"/>
      <c r="F73" s="18"/>
    </row>
    <row r="74" spans="1:6" ht="95.25" customHeight="1" x14ac:dyDescent="0.35">
      <c r="A74" s="30"/>
      <c r="B74" s="114" t="s">
        <v>49</v>
      </c>
      <c r="C74" s="115"/>
      <c r="D74" s="116"/>
      <c r="E74" s="17"/>
      <c r="F74" s="18"/>
    </row>
    <row r="75" spans="1:6" ht="29" x14ac:dyDescent="0.35">
      <c r="A75" s="30">
        <v>10.1</v>
      </c>
      <c r="B75" s="10" t="s">
        <v>94</v>
      </c>
      <c r="C75" s="12" t="s">
        <v>9</v>
      </c>
      <c r="D75" s="68">
        <f>D6</f>
        <v>2</v>
      </c>
      <c r="E75" s="19">
        <v>8500</v>
      </c>
      <c r="F75" s="20">
        <f>D75*E75</f>
        <v>17000</v>
      </c>
    </row>
    <row r="76" spans="1:6" x14ac:dyDescent="0.35">
      <c r="A76" s="30"/>
      <c r="B76" s="10"/>
      <c r="C76" s="12"/>
      <c r="D76" s="67"/>
      <c r="E76" s="26" t="s">
        <v>50</v>
      </c>
      <c r="F76" s="24">
        <f>SUM(F75)</f>
        <v>17000</v>
      </c>
    </row>
    <row r="77" spans="1:6" x14ac:dyDescent="0.35">
      <c r="A77" s="30"/>
      <c r="B77" s="10"/>
      <c r="C77" s="12"/>
      <c r="D77" s="67"/>
      <c r="E77" s="17"/>
      <c r="F77" s="18"/>
    </row>
    <row r="78" spans="1:6" x14ac:dyDescent="0.35">
      <c r="A78" s="57">
        <v>11</v>
      </c>
      <c r="B78" s="11" t="s">
        <v>51</v>
      </c>
      <c r="C78" s="12"/>
      <c r="D78" s="67"/>
      <c r="E78" s="17"/>
      <c r="F78" s="18"/>
    </row>
    <row r="79" spans="1:6" x14ac:dyDescent="0.35">
      <c r="A79" s="30"/>
      <c r="B79" s="11" t="s">
        <v>52</v>
      </c>
      <c r="C79" s="12"/>
      <c r="D79" s="67"/>
      <c r="E79" s="17"/>
      <c r="F79" s="18"/>
    </row>
    <row r="80" spans="1:6" x14ac:dyDescent="0.35">
      <c r="A80" s="30">
        <v>11.1</v>
      </c>
      <c r="B80" s="10" t="s">
        <v>53</v>
      </c>
      <c r="C80" s="12" t="s">
        <v>10</v>
      </c>
      <c r="D80" s="67">
        <f>D46</f>
        <v>30000</v>
      </c>
      <c r="E80" s="17"/>
      <c r="F80" s="18"/>
    </row>
    <row r="81" spans="1:7" x14ac:dyDescent="0.35">
      <c r="A81" s="30">
        <v>11.2</v>
      </c>
      <c r="B81" s="10" t="s">
        <v>78</v>
      </c>
      <c r="C81" s="12" t="s">
        <v>10</v>
      </c>
      <c r="D81" s="67">
        <f>D80</f>
        <v>30000</v>
      </c>
      <c r="E81" s="19">
        <v>0.96</v>
      </c>
      <c r="F81" s="20">
        <f>D81*E81</f>
        <v>28800</v>
      </c>
    </row>
    <row r="82" spans="1:7" x14ac:dyDescent="0.35">
      <c r="A82" s="30"/>
      <c r="B82" s="11" t="s">
        <v>54</v>
      </c>
      <c r="C82" s="12"/>
      <c r="D82" s="67"/>
      <c r="E82" s="17"/>
      <c r="F82" s="18"/>
    </row>
    <row r="83" spans="1:7" x14ac:dyDescent="0.35">
      <c r="A83" s="30">
        <v>11.3</v>
      </c>
      <c r="B83" s="10" t="s">
        <v>53</v>
      </c>
      <c r="C83" s="12" t="s">
        <v>10</v>
      </c>
      <c r="D83" s="67">
        <f>D53</f>
        <v>8000</v>
      </c>
      <c r="E83" s="17"/>
      <c r="F83" s="18"/>
    </row>
    <row r="84" spans="1:7" x14ac:dyDescent="0.35">
      <c r="A84" s="30">
        <v>11.4</v>
      </c>
      <c r="B84" s="10" t="s">
        <v>105</v>
      </c>
      <c r="C84" s="12" t="s">
        <v>10</v>
      </c>
      <c r="D84" s="67">
        <f>D83</f>
        <v>8000</v>
      </c>
      <c r="E84" s="19">
        <v>0.96</v>
      </c>
      <c r="F84" s="20">
        <f>D84*E84</f>
        <v>7680</v>
      </c>
    </row>
    <row r="85" spans="1:7" x14ac:dyDescent="0.35">
      <c r="A85" s="30"/>
      <c r="B85" s="11" t="s">
        <v>55</v>
      </c>
      <c r="C85" s="12"/>
      <c r="D85" s="67"/>
      <c r="E85" s="17"/>
      <c r="F85" s="18"/>
    </row>
    <row r="86" spans="1:7" x14ac:dyDescent="0.35">
      <c r="A86" s="30">
        <v>11.5</v>
      </c>
      <c r="B86" s="10" t="s">
        <v>53</v>
      </c>
      <c r="C86" s="12" t="s">
        <v>10</v>
      </c>
      <c r="D86" s="67">
        <f>SUM(1.7*43560)-D80-D83-D69-D59</f>
        <v>34652</v>
      </c>
      <c r="E86" s="17"/>
      <c r="F86" s="18"/>
    </row>
    <row r="87" spans="1:7" x14ac:dyDescent="0.35">
      <c r="A87" s="79">
        <v>11.6</v>
      </c>
      <c r="B87" s="80" t="s">
        <v>106</v>
      </c>
      <c r="C87" s="81" t="s">
        <v>10</v>
      </c>
      <c r="D87" s="86">
        <f>D86</f>
        <v>34652</v>
      </c>
      <c r="E87" s="83">
        <v>0.85</v>
      </c>
      <c r="F87" s="84">
        <f>D87*E87</f>
        <v>29454.2</v>
      </c>
      <c r="G87" t="s">
        <v>127</v>
      </c>
    </row>
    <row r="88" spans="1:7" x14ac:dyDescent="0.35">
      <c r="A88" s="30">
        <v>11.7</v>
      </c>
      <c r="B88" s="10" t="s">
        <v>95</v>
      </c>
      <c r="C88" s="12" t="s">
        <v>10</v>
      </c>
      <c r="D88" s="67">
        <f>SUM(D86-D87)</f>
        <v>0</v>
      </c>
      <c r="E88" s="19"/>
      <c r="F88" s="20">
        <f>D88*E88</f>
        <v>0</v>
      </c>
    </row>
    <row r="89" spans="1:7" x14ac:dyDescent="0.35">
      <c r="A89" s="10"/>
      <c r="B89" s="10"/>
      <c r="C89" s="12"/>
      <c r="D89" s="67"/>
      <c r="E89" s="26" t="s">
        <v>56</v>
      </c>
      <c r="F89" s="24">
        <f>SUM(F81:F88)</f>
        <v>65934.2</v>
      </c>
    </row>
    <row r="90" spans="1:7" x14ac:dyDescent="0.35">
      <c r="E90"/>
      <c r="F90"/>
    </row>
    <row r="91" spans="1:7" x14ac:dyDescent="0.35">
      <c r="E91"/>
      <c r="F91"/>
    </row>
    <row r="92" spans="1:7" x14ac:dyDescent="0.35">
      <c r="E92"/>
      <c r="F92" s="16"/>
    </row>
    <row r="93" spans="1:7" x14ac:dyDescent="0.35">
      <c r="E93"/>
      <c r="F93"/>
    </row>
    <row r="94" spans="1:7" x14ac:dyDescent="0.35">
      <c r="E94"/>
      <c r="F94"/>
    </row>
    <row r="95" spans="1:7" x14ac:dyDescent="0.35">
      <c r="E95"/>
      <c r="F95"/>
    </row>
    <row r="96" spans="1:7" x14ac:dyDescent="0.35">
      <c r="E96"/>
      <c r="F96"/>
    </row>
    <row r="97" spans="5:6" x14ac:dyDescent="0.35">
      <c r="E97"/>
      <c r="F97"/>
    </row>
    <row r="98" spans="5:6" x14ac:dyDescent="0.35">
      <c r="E98"/>
      <c r="F98"/>
    </row>
    <row r="99" spans="5:6" x14ac:dyDescent="0.35">
      <c r="E99"/>
      <c r="F99"/>
    </row>
    <row r="100" spans="5:6" x14ac:dyDescent="0.35">
      <c r="E100"/>
      <c r="F100"/>
    </row>
    <row r="101" spans="5:6" x14ac:dyDescent="0.35">
      <c r="E101"/>
      <c r="F101"/>
    </row>
    <row r="102" spans="5:6" x14ac:dyDescent="0.35">
      <c r="E102"/>
      <c r="F102"/>
    </row>
    <row r="103" spans="5:6" x14ac:dyDescent="0.35">
      <c r="E103"/>
      <c r="F103"/>
    </row>
    <row r="104" spans="5:6" x14ac:dyDescent="0.35">
      <c r="E104"/>
      <c r="F104"/>
    </row>
    <row r="105" spans="5:6" x14ac:dyDescent="0.35">
      <c r="E105"/>
      <c r="F105"/>
    </row>
    <row r="106" spans="5:6" x14ac:dyDescent="0.35">
      <c r="E106"/>
      <c r="F106"/>
    </row>
    <row r="107" spans="5:6" x14ac:dyDescent="0.35">
      <c r="E107"/>
      <c r="F107"/>
    </row>
    <row r="108" spans="5:6" x14ac:dyDescent="0.35">
      <c r="E108"/>
      <c r="F108"/>
    </row>
    <row r="109" spans="5:6" x14ac:dyDescent="0.35">
      <c r="E109"/>
      <c r="F109"/>
    </row>
    <row r="110" spans="5:6" x14ac:dyDescent="0.35">
      <c r="E110"/>
      <c r="F110"/>
    </row>
    <row r="111" spans="5:6" x14ac:dyDescent="0.35">
      <c r="E111"/>
      <c r="F111"/>
    </row>
    <row r="112" spans="5:6" x14ac:dyDescent="0.35">
      <c r="E112"/>
      <c r="F112"/>
    </row>
    <row r="113" spans="5:6" x14ac:dyDescent="0.35">
      <c r="E113"/>
      <c r="F113"/>
    </row>
    <row r="114" spans="5:6" x14ac:dyDescent="0.35">
      <c r="E114"/>
      <c r="F114"/>
    </row>
    <row r="115" spans="5:6" x14ac:dyDescent="0.35">
      <c r="E115"/>
      <c r="F115"/>
    </row>
    <row r="116" spans="5:6" x14ac:dyDescent="0.35">
      <c r="E116"/>
      <c r="F116"/>
    </row>
    <row r="117" spans="5:6" x14ac:dyDescent="0.35">
      <c r="E117"/>
      <c r="F117"/>
    </row>
    <row r="118" spans="5:6" x14ac:dyDescent="0.35">
      <c r="E118"/>
      <c r="F118"/>
    </row>
    <row r="119" spans="5:6" x14ac:dyDescent="0.35">
      <c r="E119"/>
      <c r="F119"/>
    </row>
    <row r="120" spans="5:6" x14ac:dyDescent="0.35">
      <c r="E120"/>
      <c r="F120"/>
    </row>
    <row r="121" spans="5:6" x14ac:dyDescent="0.35">
      <c r="E121"/>
      <c r="F121"/>
    </row>
    <row r="122" spans="5:6" x14ac:dyDescent="0.35">
      <c r="E122"/>
      <c r="F122"/>
    </row>
    <row r="123" spans="5:6" x14ac:dyDescent="0.35">
      <c r="E123"/>
      <c r="F123"/>
    </row>
    <row r="124" spans="5:6" x14ac:dyDescent="0.35">
      <c r="E124"/>
      <c r="F124"/>
    </row>
    <row r="125" spans="5:6" x14ac:dyDescent="0.35">
      <c r="E125"/>
      <c r="F125"/>
    </row>
    <row r="126" spans="5:6" x14ac:dyDescent="0.35">
      <c r="E126"/>
      <c r="F126"/>
    </row>
    <row r="127" spans="5:6" x14ac:dyDescent="0.35">
      <c r="E127"/>
      <c r="F127"/>
    </row>
    <row r="128" spans="5:6" x14ac:dyDescent="0.35">
      <c r="E128"/>
      <c r="F128"/>
    </row>
    <row r="129" spans="5:6" x14ac:dyDescent="0.35">
      <c r="E129"/>
      <c r="F129"/>
    </row>
    <row r="130" spans="5:6" x14ac:dyDescent="0.35">
      <c r="E130"/>
      <c r="F130"/>
    </row>
    <row r="131" spans="5:6" x14ac:dyDescent="0.35">
      <c r="E131"/>
      <c r="F131"/>
    </row>
    <row r="132" spans="5:6" x14ac:dyDescent="0.35">
      <c r="E132"/>
      <c r="F132"/>
    </row>
    <row r="133" spans="5:6" x14ac:dyDescent="0.35">
      <c r="E133"/>
      <c r="F133"/>
    </row>
    <row r="134" spans="5:6" x14ac:dyDescent="0.35">
      <c r="E134"/>
      <c r="F134"/>
    </row>
    <row r="135" spans="5:6" x14ac:dyDescent="0.35">
      <c r="E135"/>
      <c r="F135"/>
    </row>
    <row r="136" spans="5:6" x14ac:dyDescent="0.35">
      <c r="E136"/>
      <c r="F136"/>
    </row>
    <row r="137" spans="5:6" x14ac:dyDescent="0.35">
      <c r="E137"/>
      <c r="F137"/>
    </row>
    <row r="138" spans="5:6" x14ac:dyDescent="0.35">
      <c r="E138"/>
      <c r="F138"/>
    </row>
    <row r="139" spans="5:6" x14ac:dyDescent="0.35">
      <c r="E139"/>
      <c r="F139"/>
    </row>
    <row r="140" spans="5:6" x14ac:dyDescent="0.35">
      <c r="E140"/>
      <c r="F140"/>
    </row>
    <row r="141" spans="5:6" x14ac:dyDescent="0.35">
      <c r="E141"/>
      <c r="F141"/>
    </row>
    <row r="142" spans="5:6" x14ac:dyDescent="0.35">
      <c r="E142"/>
      <c r="F142"/>
    </row>
    <row r="143" spans="5:6" x14ac:dyDescent="0.35">
      <c r="E143"/>
      <c r="F143"/>
    </row>
    <row r="144" spans="5:6" x14ac:dyDescent="0.35">
      <c r="E144"/>
      <c r="F144"/>
    </row>
    <row r="145" spans="5:6" x14ac:dyDescent="0.35">
      <c r="E145"/>
      <c r="F145"/>
    </row>
    <row r="146" spans="5:6" x14ac:dyDescent="0.35">
      <c r="E146"/>
      <c r="F146"/>
    </row>
    <row r="147" spans="5:6" x14ac:dyDescent="0.35">
      <c r="E147"/>
      <c r="F147"/>
    </row>
    <row r="148" spans="5:6" x14ac:dyDescent="0.35">
      <c r="E148"/>
      <c r="F148"/>
    </row>
    <row r="149" spans="5:6" x14ac:dyDescent="0.35">
      <c r="E149"/>
      <c r="F149"/>
    </row>
    <row r="150" spans="5:6" x14ac:dyDescent="0.35">
      <c r="E150"/>
      <c r="F150"/>
    </row>
    <row r="151" spans="5:6" x14ac:dyDescent="0.35">
      <c r="E151"/>
      <c r="F151"/>
    </row>
    <row r="152" spans="5:6" x14ac:dyDescent="0.35">
      <c r="E152"/>
      <c r="F152"/>
    </row>
    <row r="153" spans="5:6" x14ac:dyDescent="0.35">
      <c r="E153"/>
      <c r="F153"/>
    </row>
    <row r="154" spans="5:6" x14ac:dyDescent="0.35">
      <c r="E154"/>
      <c r="F154"/>
    </row>
    <row r="155" spans="5:6" x14ac:dyDescent="0.35">
      <c r="E155"/>
      <c r="F155"/>
    </row>
    <row r="156" spans="5:6" x14ac:dyDescent="0.35">
      <c r="E156"/>
      <c r="F156"/>
    </row>
    <row r="157" spans="5:6" x14ac:dyDescent="0.35">
      <c r="E157"/>
      <c r="F157"/>
    </row>
    <row r="158" spans="5:6" x14ac:dyDescent="0.35">
      <c r="E158"/>
      <c r="F158"/>
    </row>
    <row r="159" spans="5:6" x14ac:dyDescent="0.35">
      <c r="E159"/>
      <c r="F159"/>
    </row>
    <row r="160" spans="5:6" x14ac:dyDescent="0.35">
      <c r="E160"/>
      <c r="F160"/>
    </row>
    <row r="161" spans="5:6" x14ac:dyDescent="0.35">
      <c r="E161"/>
      <c r="F161"/>
    </row>
    <row r="162" spans="5:6" x14ac:dyDescent="0.35">
      <c r="E162"/>
      <c r="F162"/>
    </row>
    <row r="163" spans="5:6" x14ac:dyDescent="0.35">
      <c r="E163"/>
      <c r="F163"/>
    </row>
    <row r="164" spans="5:6" x14ac:dyDescent="0.35">
      <c r="E164"/>
      <c r="F164"/>
    </row>
    <row r="165" spans="5:6" x14ac:dyDescent="0.35">
      <c r="E165"/>
      <c r="F165"/>
    </row>
    <row r="166" spans="5:6" x14ac:dyDescent="0.35">
      <c r="E166"/>
      <c r="F166"/>
    </row>
    <row r="167" spans="5:6" x14ac:dyDescent="0.35">
      <c r="E167"/>
      <c r="F167"/>
    </row>
    <row r="168" spans="5:6" x14ac:dyDescent="0.35">
      <c r="E168"/>
      <c r="F168"/>
    </row>
    <row r="169" spans="5:6" x14ac:dyDescent="0.35">
      <c r="E169"/>
      <c r="F169"/>
    </row>
    <row r="170" spans="5:6" x14ac:dyDescent="0.35">
      <c r="E170"/>
      <c r="F170"/>
    </row>
    <row r="171" spans="5:6" x14ac:dyDescent="0.35">
      <c r="E171"/>
      <c r="F171"/>
    </row>
    <row r="172" spans="5:6" x14ac:dyDescent="0.35">
      <c r="E172"/>
      <c r="F172"/>
    </row>
    <row r="173" spans="5:6" x14ac:dyDescent="0.35">
      <c r="E173"/>
      <c r="F173"/>
    </row>
    <row r="174" spans="5:6" x14ac:dyDescent="0.35">
      <c r="E174"/>
      <c r="F174"/>
    </row>
    <row r="175" spans="5:6" x14ac:dyDescent="0.35">
      <c r="E175"/>
      <c r="F175"/>
    </row>
    <row r="176" spans="5:6" x14ac:dyDescent="0.35">
      <c r="E176"/>
      <c r="F176"/>
    </row>
    <row r="177" spans="5:6" x14ac:dyDescent="0.35">
      <c r="E177"/>
      <c r="F177"/>
    </row>
    <row r="178" spans="5:6" x14ac:dyDescent="0.35">
      <c r="E178"/>
      <c r="F178"/>
    </row>
    <row r="179" spans="5:6" x14ac:dyDescent="0.35">
      <c r="E179"/>
      <c r="F179"/>
    </row>
    <row r="180" spans="5:6" x14ac:dyDescent="0.35">
      <c r="E180"/>
      <c r="F180"/>
    </row>
    <row r="181" spans="5:6" x14ac:dyDescent="0.35">
      <c r="E181"/>
      <c r="F181"/>
    </row>
    <row r="182" spans="5:6" x14ac:dyDescent="0.35">
      <c r="E182"/>
      <c r="F182"/>
    </row>
    <row r="183" spans="5:6" x14ac:dyDescent="0.35">
      <c r="E183"/>
      <c r="F183"/>
    </row>
    <row r="184" spans="5:6" x14ac:dyDescent="0.35">
      <c r="E184"/>
      <c r="F184"/>
    </row>
  </sheetData>
  <mergeCells count="2">
    <mergeCell ref="A1:F1"/>
    <mergeCell ref="B74:D74"/>
  </mergeCells>
  <pageMargins left="0.7" right="0.7" top="0.75" bottom="0.75" header="0.3" footer="0.3"/>
  <pageSetup scale="69" orientation="landscape" r:id="rId1"/>
  <rowBreaks count="3" manualBreakCount="3">
    <brk id="12" max="5" man="1"/>
    <brk id="32" max="16383" man="1"/>
    <brk id="64"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53557-9A42-44D6-86F6-BE00195F820A}">
  <dimension ref="A1:F184"/>
  <sheetViews>
    <sheetView topLeftCell="A74" zoomScale="120" zoomScaleNormal="120" workbookViewId="0">
      <selection activeCell="D76" sqref="D76"/>
    </sheetView>
  </sheetViews>
  <sheetFormatPr defaultRowHeight="14.5" x14ac:dyDescent="0.35"/>
  <cols>
    <col min="1" max="1" width="9.54296875" customWidth="1"/>
    <col min="2" max="2" width="79.81640625" customWidth="1"/>
    <col min="3" max="3" width="5.54296875" style="5" customWidth="1"/>
    <col min="4" max="4" width="17.54296875" style="73" customWidth="1"/>
    <col min="5" max="5" width="15.54296875" style="15" customWidth="1"/>
    <col min="6" max="6" width="16.453125" style="15" customWidth="1"/>
  </cols>
  <sheetData>
    <row r="1" spans="1:6" ht="21" x14ac:dyDescent="0.5">
      <c r="A1" s="112" t="s">
        <v>102</v>
      </c>
      <c r="B1" s="113"/>
      <c r="C1" s="113"/>
      <c r="D1" s="113"/>
      <c r="E1" s="113"/>
      <c r="F1" s="113"/>
    </row>
    <row r="2" spans="1:6" x14ac:dyDescent="0.35">
      <c r="A2" s="6"/>
      <c r="B2" s="6"/>
      <c r="C2" s="6"/>
      <c r="D2" s="65"/>
      <c r="E2" s="6"/>
      <c r="F2" s="6"/>
    </row>
    <row r="3" spans="1:6" ht="29" x14ac:dyDescent="0.35">
      <c r="A3" s="8" t="s">
        <v>1</v>
      </c>
      <c r="B3" s="9" t="s">
        <v>2</v>
      </c>
      <c r="C3" s="9" t="s">
        <v>3</v>
      </c>
      <c r="D3" s="66" t="s">
        <v>79</v>
      </c>
      <c r="E3" s="8" t="s">
        <v>4</v>
      </c>
      <c r="F3" s="25" t="s">
        <v>5</v>
      </c>
    </row>
    <row r="4" spans="1:6" x14ac:dyDescent="0.35">
      <c r="A4" s="57">
        <v>1</v>
      </c>
      <c r="B4" s="11" t="s">
        <v>6</v>
      </c>
      <c r="C4" s="12"/>
      <c r="D4" s="67"/>
      <c r="E4" s="17"/>
      <c r="F4" s="18"/>
    </row>
    <row r="5" spans="1:6" ht="15" customHeight="1" x14ac:dyDescent="0.35">
      <c r="A5" s="30">
        <v>1.1000000000000001</v>
      </c>
      <c r="B5" s="10" t="s">
        <v>86</v>
      </c>
      <c r="C5" s="12" t="s">
        <v>7</v>
      </c>
      <c r="D5" s="68">
        <v>1</v>
      </c>
      <c r="E5" s="19">
        <v>225000</v>
      </c>
      <c r="F5" s="20">
        <v>225000</v>
      </c>
    </row>
    <row r="6" spans="1:6" ht="60" customHeight="1" x14ac:dyDescent="0.35">
      <c r="A6" s="30">
        <v>1.2</v>
      </c>
      <c r="B6" s="10" t="s">
        <v>74</v>
      </c>
      <c r="C6" s="12" t="s">
        <v>9</v>
      </c>
      <c r="D6" s="68">
        <v>7</v>
      </c>
      <c r="E6" s="19">
        <v>1733.39</v>
      </c>
      <c r="F6" s="20">
        <f>D6*E6</f>
        <v>12133.730000000001</v>
      </c>
    </row>
    <row r="7" spans="1:6" ht="45" customHeight="1" x14ac:dyDescent="0.35">
      <c r="A7" s="30">
        <v>1.3</v>
      </c>
      <c r="B7" s="10" t="s">
        <v>69</v>
      </c>
      <c r="C7" s="12" t="s">
        <v>10</v>
      </c>
      <c r="D7" s="68">
        <v>0</v>
      </c>
      <c r="E7" s="19"/>
      <c r="F7" s="20">
        <f t="shared" ref="F7:F10" si="0">D7*E7</f>
        <v>0</v>
      </c>
    </row>
    <row r="8" spans="1:6" ht="43.5" x14ac:dyDescent="0.35">
      <c r="A8" s="79">
        <v>1.4</v>
      </c>
      <c r="B8" s="80" t="s">
        <v>123</v>
      </c>
      <c r="C8" s="81" t="s">
        <v>10</v>
      </c>
      <c r="D8" s="85">
        <f>SUM(5*43560)-8500</f>
        <v>209300</v>
      </c>
      <c r="E8" s="83">
        <v>1.54</v>
      </c>
      <c r="F8" s="84">
        <f t="shared" si="0"/>
        <v>322322</v>
      </c>
    </row>
    <row r="9" spans="1:6" ht="43.5" x14ac:dyDescent="0.35">
      <c r="A9" s="30">
        <v>1.5</v>
      </c>
      <c r="B9" s="10" t="s">
        <v>12</v>
      </c>
      <c r="C9" s="12" t="s">
        <v>10</v>
      </c>
      <c r="D9" s="68">
        <v>0</v>
      </c>
      <c r="E9" s="19"/>
      <c r="F9" s="20">
        <f t="shared" si="0"/>
        <v>0</v>
      </c>
    </row>
    <row r="10" spans="1:6" ht="15" thickBot="1" x14ac:dyDescent="0.4">
      <c r="A10" s="30">
        <v>1.6</v>
      </c>
      <c r="B10" s="10" t="s">
        <v>13</v>
      </c>
      <c r="C10" s="12" t="s">
        <v>14</v>
      </c>
      <c r="D10" s="68">
        <v>2500</v>
      </c>
      <c r="E10" s="19">
        <v>6.1</v>
      </c>
      <c r="F10" s="20">
        <f t="shared" si="0"/>
        <v>15250</v>
      </c>
    </row>
    <row r="11" spans="1:6" ht="15" customHeight="1" thickBot="1" x14ac:dyDescent="0.4">
      <c r="A11" s="30"/>
      <c r="B11" s="10"/>
      <c r="C11" s="12"/>
      <c r="D11" s="67"/>
      <c r="E11" s="21" t="s">
        <v>15</v>
      </c>
      <c r="F11" s="22">
        <f>SUM(F5:F10)</f>
        <v>574705.73</v>
      </c>
    </row>
    <row r="12" spans="1:6" ht="15" customHeight="1" x14ac:dyDescent="0.35">
      <c r="A12" s="30"/>
      <c r="B12" s="10"/>
      <c r="C12" s="12"/>
      <c r="D12" s="67"/>
      <c r="E12" s="56"/>
      <c r="F12" s="55"/>
    </row>
    <row r="13" spans="1:6" ht="29" x14ac:dyDescent="0.35">
      <c r="A13" s="8" t="s">
        <v>1</v>
      </c>
      <c r="B13" s="9" t="s">
        <v>2</v>
      </c>
      <c r="C13" s="9" t="s">
        <v>3</v>
      </c>
      <c r="D13" s="66" t="s">
        <v>79</v>
      </c>
      <c r="E13" s="8" t="s">
        <v>4</v>
      </c>
      <c r="F13" s="25" t="s">
        <v>5</v>
      </c>
    </row>
    <row r="14" spans="1:6" x14ac:dyDescent="0.35">
      <c r="A14" s="57">
        <v>2</v>
      </c>
      <c r="B14" s="11" t="s">
        <v>64</v>
      </c>
      <c r="C14" s="12"/>
      <c r="D14" s="67"/>
      <c r="E14" s="17"/>
      <c r="F14" s="18"/>
    </row>
    <row r="15" spans="1:6" ht="60" customHeight="1" x14ac:dyDescent="0.35">
      <c r="A15" s="30">
        <v>2.1</v>
      </c>
      <c r="B15" s="10" t="s">
        <v>60</v>
      </c>
      <c r="C15" s="12" t="s">
        <v>16</v>
      </c>
      <c r="D15" s="68">
        <v>2500</v>
      </c>
      <c r="E15" s="19">
        <v>4.8899999999999997</v>
      </c>
      <c r="F15" s="20">
        <f>D15*E15</f>
        <v>12225</v>
      </c>
    </row>
    <row r="16" spans="1:6" ht="29.5" thickBot="1" x14ac:dyDescent="0.4">
      <c r="A16" s="30">
        <v>2.2000000000000002</v>
      </c>
      <c r="B16" s="10" t="s">
        <v>17</v>
      </c>
      <c r="C16" s="12" t="s">
        <v>16</v>
      </c>
      <c r="D16" s="68">
        <v>1000</v>
      </c>
      <c r="E16" s="19">
        <v>4.8899999999999997</v>
      </c>
      <c r="F16" s="20">
        <f>D16*E16</f>
        <v>4890</v>
      </c>
    </row>
    <row r="17" spans="1:6" ht="15" thickBot="1" x14ac:dyDescent="0.4">
      <c r="A17" s="30"/>
      <c r="B17" s="10"/>
      <c r="C17" s="12"/>
      <c r="D17" s="67"/>
      <c r="E17" s="23" t="s">
        <v>18</v>
      </c>
      <c r="F17" s="22">
        <f>SUM(F15:F16)</f>
        <v>17115</v>
      </c>
    </row>
    <row r="18" spans="1:6" x14ac:dyDescent="0.35">
      <c r="A18" s="30"/>
      <c r="B18" s="10"/>
      <c r="C18" s="12"/>
      <c r="D18" s="67"/>
      <c r="E18" s="54"/>
      <c r="F18" s="55"/>
    </row>
    <row r="19" spans="1:6" ht="29" x14ac:dyDescent="0.35">
      <c r="A19" s="8" t="s">
        <v>1</v>
      </c>
      <c r="B19" s="9" t="s">
        <v>2</v>
      </c>
      <c r="C19" s="9" t="s">
        <v>3</v>
      </c>
      <c r="D19" s="66" t="s">
        <v>79</v>
      </c>
      <c r="E19" s="8" t="s">
        <v>4</v>
      </c>
      <c r="F19" s="25" t="s">
        <v>5</v>
      </c>
    </row>
    <row r="20" spans="1:6" ht="30" customHeight="1" x14ac:dyDescent="0.35">
      <c r="A20" s="57">
        <v>3</v>
      </c>
      <c r="B20" s="58" t="s">
        <v>19</v>
      </c>
      <c r="C20" s="59"/>
      <c r="D20" s="69"/>
      <c r="E20" s="17"/>
      <c r="F20" s="18"/>
    </row>
    <row r="21" spans="1:6" x14ac:dyDescent="0.35">
      <c r="A21" s="30">
        <v>3.1</v>
      </c>
      <c r="B21" s="10" t="s">
        <v>59</v>
      </c>
      <c r="C21" s="12" t="s">
        <v>14</v>
      </c>
      <c r="D21" s="68">
        <v>5000</v>
      </c>
      <c r="E21" s="19">
        <v>6.1</v>
      </c>
      <c r="F21" s="20">
        <f t="shared" ref="F21:F24" si="1">D21*E21</f>
        <v>30500</v>
      </c>
    </row>
    <row r="22" spans="1:6" x14ac:dyDescent="0.35">
      <c r="A22" s="30">
        <v>3.2</v>
      </c>
      <c r="B22" s="10" t="s">
        <v>20</v>
      </c>
      <c r="C22" s="12" t="s">
        <v>14</v>
      </c>
      <c r="D22" s="68">
        <v>0</v>
      </c>
      <c r="E22" s="19"/>
      <c r="F22" s="20">
        <f t="shared" si="1"/>
        <v>0</v>
      </c>
    </row>
    <row r="23" spans="1:6" x14ac:dyDescent="0.35">
      <c r="A23" s="30">
        <v>3.3</v>
      </c>
      <c r="B23" s="10" t="s">
        <v>21</v>
      </c>
      <c r="C23" s="12" t="s">
        <v>14</v>
      </c>
      <c r="D23" s="68">
        <v>2500</v>
      </c>
      <c r="E23" s="19">
        <v>24.17</v>
      </c>
      <c r="F23" s="20">
        <f t="shared" si="1"/>
        <v>60425.000000000007</v>
      </c>
    </row>
    <row r="24" spans="1:6" ht="15" thickBot="1" x14ac:dyDescent="0.4">
      <c r="A24" s="30">
        <v>3.4</v>
      </c>
      <c r="B24" s="10" t="s">
        <v>80</v>
      </c>
      <c r="C24" s="12" t="s">
        <v>22</v>
      </c>
      <c r="D24" s="68">
        <v>1</v>
      </c>
      <c r="E24" s="19">
        <v>2775.35</v>
      </c>
      <c r="F24" s="20">
        <f t="shared" si="1"/>
        <v>2775.35</v>
      </c>
    </row>
    <row r="25" spans="1:6" ht="15" customHeight="1" thickBot="1" x14ac:dyDescent="0.4">
      <c r="A25" s="30"/>
      <c r="B25" s="10"/>
      <c r="C25" s="12"/>
      <c r="D25" s="67"/>
      <c r="E25" s="23" t="s">
        <v>70</v>
      </c>
      <c r="F25" s="22">
        <f>SUM(F21:F24)</f>
        <v>93700.35</v>
      </c>
    </row>
    <row r="26" spans="1:6" ht="15" customHeight="1" x14ac:dyDescent="0.35">
      <c r="A26" s="30"/>
      <c r="B26" s="10"/>
      <c r="C26" s="12"/>
      <c r="D26" s="67"/>
      <c r="E26" s="54"/>
      <c r="F26" s="55"/>
    </row>
    <row r="27" spans="1:6" ht="29" x14ac:dyDescent="0.35">
      <c r="A27" s="8" t="s">
        <v>1</v>
      </c>
      <c r="B27" s="9" t="s">
        <v>2</v>
      </c>
      <c r="C27" s="9" t="s">
        <v>3</v>
      </c>
      <c r="D27" s="66" t="s">
        <v>79</v>
      </c>
      <c r="E27" s="8" t="s">
        <v>4</v>
      </c>
      <c r="F27" s="25" t="s">
        <v>5</v>
      </c>
    </row>
    <row r="28" spans="1:6" ht="19.5" customHeight="1" x14ac:dyDescent="0.35">
      <c r="A28" s="57">
        <v>4</v>
      </c>
      <c r="B28" s="11" t="s">
        <v>23</v>
      </c>
      <c r="C28" s="12"/>
      <c r="D28" s="67"/>
      <c r="E28" s="17"/>
      <c r="F28" s="18"/>
    </row>
    <row r="29" spans="1:6" ht="45" customHeight="1" x14ac:dyDescent="0.35">
      <c r="A29" s="30"/>
      <c r="B29" s="60" t="s">
        <v>103</v>
      </c>
      <c r="C29" s="10"/>
      <c r="D29" s="70"/>
      <c r="E29" s="10"/>
      <c r="F29" s="18"/>
    </row>
    <row r="30" spans="1:6" ht="29" x14ac:dyDescent="0.35">
      <c r="A30" s="61">
        <v>4.0999999999999996</v>
      </c>
      <c r="B30" s="62" t="s">
        <v>104</v>
      </c>
      <c r="C30" s="61" t="s">
        <v>9</v>
      </c>
      <c r="D30" s="71">
        <v>7</v>
      </c>
      <c r="E30" s="64">
        <v>6500</v>
      </c>
      <c r="F30" s="63">
        <f>D30*E30</f>
        <v>45500</v>
      </c>
    </row>
    <row r="31" spans="1:6" ht="15" customHeight="1" x14ac:dyDescent="0.35">
      <c r="A31" s="30"/>
      <c r="B31" s="10"/>
      <c r="C31" s="12"/>
      <c r="D31" s="67"/>
      <c r="E31" s="26" t="s">
        <v>24</v>
      </c>
      <c r="F31" s="24">
        <f>SUM(F30:F30)</f>
        <v>45500</v>
      </c>
    </row>
    <row r="32" spans="1:6" x14ac:dyDescent="0.35">
      <c r="A32" s="30"/>
      <c r="B32" s="10"/>
      <c r="C32" s="12"/>
      <c r="D32" s="67"/>
      <c r="E32" s="17"/>
      <c r="F32" s="18"/>
    </row>
    <row r="33" spans="1:6" ht="29" x14ac:dyDescent="0.35">
      <c r="A33" s="8" t="s">
        <v>1</v>
      </c>
      <c r="B33" s="9" t="s">
        <v>2</v>
      </c>
      <c r="C33" s="9" t="s">
        <v>3</v>
      </c>
      <c r="D33" s="66" t="s">
        <v>79</v>
      </c>
      <c r="E33" s="8" t="s">
        <v>4</v>
      </c>
      <c r="F33" s="25" t="s">
        <v>5</v>
      </c>
    </row>
    <row r="34" spans="1:6" x14ac:dyDescent="0.35">
      <c r="A34" s="57">
        <v>5</v>
      </c>
      <c r="B34" s="11" t="s">
        <v>25</v>
      </c>
      <c r="C34" s="12"/>
      <c r="D34" s="67"/>
      <c r="E34" s="17"/>
      <c r="F34" s="18"/>
    </row>
    <row r="35" spans="1:6" ht="43.5" x14ac:dyDescent="0.35">
      <c r="A35" s="30"/>
      <c r="B35" s="10" t="s">
        <v>26</v>
      </c>
      <c r="C35" s="12"/>
      <c r="D35" s="67"/>
      <c r="E35" s="17"/>
      <c r="F35" s="18"/>
    </row>
    <row r="36" spans="1:6" x14ac:dyDescent="0.35">
      <c r="A36" s="30">
        <v>5.0999999999999996</v>
      </c>
      <c r="B36" s="10" t="s">
        <v>27</v>
      </c>
      <c r="C36" s="12" t="s">
        <v>14</v>
      </c>
      <c r="D36" s="72">
        <v>5000</v>
      </c>
      <c r="E36" s="19">
        <v>13.1</v>
      </c>
      <c r="F36" s="20">
        <f t="shared" ref="F36:F40" si="2">D36*E36</f>
        <v>65500</v>
      </c>
    </row>
    <row r="37" spans="1:6" x14ac:dyDescent="0.35">
      <c r="A37" s="30">
        <v>5.2</v>
      </c>
      <c r="B37" s="10" t="s">
        <v>28</v>
      </c>
      <c r="C37" s="12" t="s">
        <v>14</v>
      </c>
      <c r="D37" s="72">
        <v>2500</v>
      </c>
      <c r="E37" s="19">
        <v>17.23</v>
      </c>
      <c r="F37" s="20">
        <f t="shared" si="2"/>
        <v>43075</v>
      </c>
    </row>
    <row r="38" spans="1:6" ht="43.5" x14ac:dyDescent="0.35">
      <c r="A38" s="30">
        <v>5.3</v>
      </c>
      <c r="B38" s="10" t="s">
        <v>29</v>
      </c>
      <c r="C38" s="12" t="s">
        <v>14</v>
      </c>
      <c r="D38" s="72">
        <f>SUM(27*500)</f>
        <v>13500</v>
      </c>
      <c r="E38" s="19">
        <v>20.079999999999998</v>
      </c>
      <c r="F38" s="20">
        <f t="shared" si="2"/>
        <v>271080</v>
      </c>
    </row>
    <row r="39" spans="1:6" ht="29" x14ac:dyDescent="0.35">
      <c r="A39" s="30">
        <v>5.4</v>
      </c>
      <c r="B39" s="10" t="s">
        <v>30</v>
      </c>
      <c r="C39" s="12" t="s">
        <v>8</v>
      </c>
      <c r="D39" s="72">
        <f>SUM(27*2)</f>
        <v>54</v>
      </c>
      <c r="E39" s="19">
        <v>508.87</v>
      </c>
      <c r="F39" s="20">
        <f t="shared" si="2"/>
        <v>27478.98</v>
      </c>
    </row>
    <row r="40" spans="1:6" ht="29" x14ac:dyDescent="0.35">
      <c r="A40" s="30">
        <v>5.5</v>
      </c>
      <c r="B40" s="10" t="s">
        <v>31</v>
      </c>
      <c r="C40" s="12" t="s">
        <v>8</v>
      </c>
      <c r="D40" s="72">
        <v>15</v>
      </c>
      <c r="E40" s="19">
        <v>768.15</v>
      </c>
      <c r="F40" s="20">
        <f t="shared" si="2"/>
        <v>11522.25</v>
      </c>
    </row>
    <row r="41" spans="1:6" x14ac:dyDescent="0.35">
      <c r="A41" s="30"/>
      <c r="B41" s="10"/>
      <c r="C41" s="12"/>
      <c r="D41" s="67"/>
      <c r="E41" s="26" t="s">
        <v>32</v>
      </c>
      <c r="F41" s="24">
        <f>SUM(F36:F40)</f>
        <v>418656.23</v>
      </c>
    </row>
    <row r="42" spans="1:6" x14ac:dyDescent="0.35">
      <c r="A42" s="30"/>
      <c r="B42" s="10"/>
      <c r="C42" s="12"/>
      <c r="D42" s="67"/>
      <c r="E42" s="17"/>
      <c r="F42" s="18"/>
    </row>
    <row r="43" spans="1:6" x14ac:dyDescent="0.35">
      <c r="A43" s="57">
        <v>6</v>
      </c>
      <c r="B43" s="11" t="s">
        <v>110</v>
      </c>
      <c r="C43" s="12"/>
      <c r="D43" s="67"/>
      <c r="E43" s="17"/>
      <c r="F43" s="18"/>
    </row>
    <row r="44" spans="1:6" x14ac:dyDescent="0.35">
      <c r="A44" s="30">
        <v>6.1</v>
      </c>
      <c r="B44" s="10" t="s">
        <v>34</v>
      </c>
      <c r="C44" s="12" t="s">
        <v>14</v>
      </c>
      <c r="D44" s="72">
        <f>SUM(D46*0.15)</f>
        <v>0</v>
      </c>
      <c r="E44" s="19"/>
      <c r="F44" s="20">
        <f t="shared" ref="F44:F45" si="3">D44*E44</f>
        <v>0</v>
      </c>
    </row>
    <row r="45" spans="1:6" x14ac:dyDescent="0.35">
      <c r="A45" s="30">
        <v>6.2</v>
      </c>
      <c r="B45" s="10" t="s">
        <v>35</v>
      </c>
      <c r="C45" s="12" t="s">
        <v>14</v>
      </c>
      <c r="D45" s="72">
        <f>SUM(D46*0.12)</f>
        <v>0</v>
      </c>
      <c r="E45" s="19"/>
      <c r="F45" s="20">
        <f t="shared" si="3"/>
        <v>0</v>
      </c>
    </row>
    <row r="46" spans="1:6" x14ac:dyDescent="0.35">
      <c r="A46" s="30">
        <v>6.3</v>
      </c>
      <c r="B46" s="10" t="s">
        <v>75</v>
      </c>
      <c r="C46" s="12" t="s">
        <v>10</v>
      </c>
      <c r="D46" s="72">
        <v>0</v>
      </c>
      <c r="E46" s="19"/>
      <c r="F46" s="20">
        <f>D46*E46</f>
        <v>0</v>
      </c>
    </row>
    <row r="47" spans="1:6" x14ac:dyDescent="0.35">
      <c r="A47" s="30">
        <v>6.4</v>
      </c>
      <c r="B47" s="10" t="s">
        <v>76</v>
      </c>
      <c r="C47" s="12" t="s">
        <v>10</v>
      </c>
      <c r="D47" s="72">
        <f>D46</f>
        <v>0</v>
      </c>
      <c r="E47" s="19"/>
      <c r="F47" s="20">
        <f>D47*E47</f>
        <v>0</v>
      </c>
    </row>
    <row r="48" spans="1:6" x14ac:dyDescent="0.35">
      <c r="A48" s="61">
        <v>6.5</v>
      </c>
      <c r="B48" s="75" t="s">
        <v>89</v>
      </c>
      <c r="C48" s="76" t="s">
        <v>14</v>
      </c>
      <c r="D48" s="78">
        <v>0</v>
      </c>
      <c r="E48" s="77"/>
      <c r="F48" s="20">
        <f>D48*E48</f>
        <v>0</v>
      </c>
    </row>
    <row r="49" spans="1:6" x14ac:dyDescent="0.35">
      <c r="A49" s="30"/>
      <c r="B49" s="10"/>
      <c r="C49" s="12"/>
      <c r="D49" s="67"/>
      <c r="E49" s="26" t="s">
        <v>36</v>
      </c>
      <c r="F49" s="24">
        <f>SUM(F44:F47)</f>
        <v>0</v>
      </c>
    </row>
    <row r="50" spans="1:6" x14ac:dyDescent="0.35">
      <c r="A50" s="30"/>
      <c r="B50" s="10"/>
      <c r="C50" s="12"/>
      <c r="D50" s="67"/>
      <c r="E50" s="17"/>
      <c r="F50" s="18"/>
    </row>
    <row r="51" spans="1:6" x14ac:dyDescent="0.35">
      <c r="A51" s="57">
        <v>7</v>
      </c>
      <c r="B51" s="11" t="s">
        <v>91</v>
      </c>
      <c r="C51" s="12"/>
      <c r="D51" s="67"/>
      <c r="E51" s="17"/>
      <c r="F51" s="18"/>
    </row>
    <row r="52" spans="1:6" ht="29" x14ac:dyDescent="0.35">
      <c r="A52" s="30">
        <v>7.1</v>
      </c>
      <c r="B52" s="10" t="s">
        <v>38</v>
      </c>
      <c r="C52" s="12" t="s">
        <v>14</v>
      </c>
      <c r="D52" s="72">
        <f>D53*0.15</f>
        <v>0</v>
      </c>
      <c r="E52" s="19"/>
      <c r="F52" s="20">
        <f>D52*E52</f>
        <v>0</v>
      </c>
    </row>
    <row r="53" spans="1:6" ht="29" x14ac:dyDescent="0.35">
      <c r="A53" s="30">
        <v>7.2</v>
      </c>
      <c r="B53" s="10" t="s">
        <v>90</v>
      </c>
      <c r="C53" s="12" t="s">
        <v>10</v>
      </c>
      <c r="D53" s="72">
        <v>0</v>
      </c>
      <c r="E53" s="19"/>
      <c r="F53" s="20">
        <f>D53*E53</f>
        <v>0</v>
      </c>
    </row>
    <row r="54" spans="1:6" ht="15" customHeight="1" x14ac:dyDescent="0.35">
      <c r="A54" s="30">
        <v>7.3</v>
      </c>
      <c r="B54" s="10" t="s">
        <v>39</v>
      </c>
      <c r="C54" s="12" t="s">
        <v>14</v>
      </c>
      <c r="D54" s="72">
        <v>0</v>
      </c>
      <c r="E54" s="19"/>
      <c r="F54" s="20">
        <f>D54*E54</f>
        <v>0</v>
      </c>
    </row>
    <row r="55" spans="1:6" x14ac:dyDescent="0.35">
      <c r="A55" s="30">
        <v>7.4</v>
      </c>
      <c r="B55" s="10" t="s">
        <v>40</v>
      </c>
      <c r="C55" s="12" t="s">
        <v>10</v>
      </c>
      <c r="D55" s="72">
        <f>D53</f>
        <v>0</v>
      </c>
      <c r="E55" s="19"/>
      <c r="F55" s="20">
        <f>D55*E55</f>
        <v>0</v>
      </c>
    </row>
    <row r="56" spans="1:6" x14ac:dyDescent="0.35">
      <c r="A56" s="30"/>
      <c r="B56" s="10"/>
      <c r="C56" s="12"/>
      <c r="D56" s="67"/>
      <c r="E56" s="26" t="s">
        <v>41</v>
      </c>
      <c r="F56" s="24">
        <f>SUM(F52:F55)</f>
        <v>0</v>
      </c>
    </row>
    <row r="57" spans="1:6" x14ac:dyDescent="0.35">
      <c r="A57" s="30"/>
      <c r="B57" s="10"/>
      <c r="C57" s="12"/>
      <c r="D57" s="67"/>
      <c r="E57" s="17"/>
      <c r="F57" s="18"/>
    </row>
    <row r="58" spans="1:6" x14ac:dyDescent="0.35">
      <c r="A58" s="57">
        <v>8</v>
      </c>
      <c r="B58" s="11" t="s">
        <v>77</v>
      </c>
      <c r="C58" s="12"/>
      <c r="D58" s="67"/>
      <c r="E58" s="17"/>
      <c r="F58" s="18"/>
    </row>
    <row r="59" spans="1:6" x14ac:dyDescent="0.35">
      <c r="A59" s="30">
        <v>8.1</v>
      </c>
      <c r="B59" s="10" t="s">
        <v>43</v>
      </c>
      <c r="C59" s="12" t="s">
        <v>10</v>
      </c>
      <c r="D59" s="72">
        <v>160000</v>
      </c>
      <c r="E59" s="19">
        <v>1.73</v>
      </c>
      <c r="F59" s="20">
        <f>D59*E59</f>
        <v>276800</v>
      </c>
    </row>
    <row r="60" spans="1:6" x14ac:dyDescent="0.35">
      <c r="A60" s="30">
        <v>8.1999999999999993</v>
      </c>
      <c r="B60" s="10" t="s">
        <v>57</v>
      </c>
      <c r="C60" s="12" t="s">
        <v>14</v>
      </c>
      <c r="D60" s="72">
        <f>D62*0.1</f>
        <v>16000</v>
      </c>
      <c r="E60" s="19">
        <v>16.5</v>
      </c>
      <c r="F60" s="20">
        <f>D60*E60</f>
        <v>264000</v>
      </c>
    </row>
    <row r="61" spans="1:6" x14ac:dyDescent="0.35">
      <c r="A61" s="30">
        <v>8.3000000000000007</v>
      </c>
      <c r="B61" s="10" t="s">
        <v>58</v>
      </c>
      <c r="C61" s="12" t="s">
        <v>14</v>
      </c>
      <c r="D61" s="72">
        <f>SUM(27*250)</f>
        <v>6750</v>
      </c>
      <c r="E61" s="19">
        <v>12.12</v>
      </c>
      <c r="F61" s="20">
        <f>D61*E61</f>
        <v>81810</v>
      </c>
    </row>
    <row r="62" spans="1:6" x14ac:dyDescent="0.35">
      <c r="A62" s="79">
        <v>8.4</v>
      </c>
      <c r="B62" s="87" t="s">
        <v>121</v>
      </c>
      <c r="C62" s="81" t="s">
        <v>10</v>
      </c>
      <c r="D62" s="82">
        <v>160000</v>
      </c>
      <c r="E62" s="83">
        <v>5.27</v>
      </c>
      <c r="F62" s="84">
        <f>D62*E62</f>
        <v>843199.99999999988</v>
      </c>
    </row>
    <row r="63" spans="1:6" ht="29" x14ac:dyDescent="0.35">
      <c r="A63" s="30">
        <v>8.5</v>
      </c>
      <c r="B63" s="10" t="s">
        <v>93</v>
      </c>
      <c r="C63" s="12" t="s">
        <v>10</v>
      </c>
      <c r="D63" s="72">
        <f>D62</f>
        <v>160000</v>
      </c>
      <c r="E63" s="19">
        <v>2.0499999999999998</v>
      </c>
      <c r="F63" s="20">
        <f>D63*E63</f>
        <v>328000</v>
      </c>
    </row>
    <row r="64" spans="1:6" x14ac:dyDescent="0.35">
      <c r="A64" s="30"/>
      <c r="B64" s="10"/>
      <c r="C64" s="12"/>
      <c r="D64" s="67"/>
      <c r="E64" s="27" t="s">
        <v>44</v>
      </c>
      <c r="F64" s="28">
        <f>SUM(F59:F63)</f>
        <v>1793810</v>
      </c>
    </row>
    <row r="65" spans="1:6" x14ac:dyDescent="0.35">
      <c r="A65" s="30"/>
      <c r="B65" s="10"/>
      <c r="C65" s="12"/>
      <c r="D65" s="67"/>
      <c r="E65" s="27"/>
      <c r="F65" s="28"/>
    </row>
    <row r="66" spans="1:6" ht="29" x14ac:dyDescent="0.35">
      <c r="A66" s="8" t="s">
        <v>1</v>
      </c>
      <c r="B66" s="14" t="s">
        <v>2</v>
      </c>
      <c r="C66" s="14" t="s">
        <v>3</v>
      </c>
      <c r="D66" s="66" t="s">
        <v>79</v>
      </c>
      <c r="E66" s="13" t="s">
        <v>4</v>
      </c>
      <c r="F66" s="29" t="s">
        <v>5</v>
      </c>
    </row>
    <row r="67" spans="1:6" x14ac:dyDescent="0.35">
      <c r="A67" s="57">
        <v>9</v>
      </c>
      <c r="B67" s="11" t="s">
        <v>71</v>
      </c>
      <c r="C67" s="12"/>
      <c r="D67" s="67"/>
      <c r="E67" s="17"/>
      <c r="F67" s="18"/>
    </row>
    <row r="68" spans="1:6" x14ac:dyDescent="0.35">
      <c r="A68" s="30">
        <v>9.1</v>
      </c>
      <c r="B68" s="10" t="s">
        <v>45</v>
      </c>
      <c r="C68" s="12" t="s">
        <v>8</v>
      </c>
      <c r="D68" s="72">
        <v>0</v>
      </c>
      <c r="E68" s="19"/>
      <c r="F68" s="20">
        <f>D68*E68</f>
        <v>0</v>
      </c>
    </row>
    <row r="69" spans="1:6" ht="29" x14ac:dyDescent="0.35">
      <c r="A69" s="30">
        <v>9.1999999999999993</v>
      </c>
      <c r="B69" s="10" t="s">
        <v>100</v>
      </c>
      <c r="C69" s="12" t="s">
        <v>10</v>
      </c>
      <c r="D69" s="72">
        <v>0</v>
      </c>
      <c r="E69" s="19"/>
      <c r="F69" s="20">
        <f>D69*E69</f>
        <v>0</v>
      </c>
    </row>
    <row r="70" spans="1:6" x14ac:dyDescent="0.35">
      <c r="A70" s="30">
        <v>9.3000000000000007</v>
      </c>
      <c r="B70" s="10" t="s">
        <v>46</v>
      </c>
      <c r="C70" s="12" t="s">
        <v>14</v>
      </c>
      <c r="D70" s="72">
        <v>0</v>
      </c>
      <c r="E70" s="19"/>
      <c r="F70" s="20">
        <f>D70*E70</f>
        <v>0</v>
      </c>
    </row>
    <row r="71" spans="1:6" x14ac:dyDescent="0.35">
      <c r="A71" s="30"/>
      <c r="B71" s="10"/>
      <c r="C71" s="12"/>
      <c r="D71" s="67"/>
      <c r="E71" s="26" t="s">
        <v>47</v>
      </c>
      <c r="F71" s="24">
        <f>SUM(F68:F70)</f>
        <v>0</v>
      </c>
    </row>
    <row r="72" spans="1:6" x14ac:dyDescent="0.35">
      <c r="A72" s="30"/>
      <c r="B72" s="10"/>
      <c r="C72" s="12"/>
      <c r="D72" s="67"/>
      <c r="E72" s="17"/>
      <c r="F72" s="18"/>
    </row>
    <row r="73" spans="1:6" x14ac:dyDescent="0.35">
      <c r="A73" s="57">
        <v>10</v>
      </c>
      <c r="B73" s="11" t="s">
        <v>48</v>
      </c>
      <c r="C73" s="12"/>
      <c r="D73" s="67"/>
      <c r="E73" s="17"/>
      <c r="F73" s="18"/>
    </row>
    <row r="74" spans="1:6" ht="95.25" customHeight="1" x14ac:dyDescent="0.35">
      <c r="A74" s="30"/>
      <c r="B74" s="114" t="s">
        <v>49</v>
      </c>
      <c r="C74" s="115"/>
      <c r="D74" s="116"/>
      <c r="E74" s="17"/>
      <c r="F74" s="18"/>
    </row>
    <row r="75" spans="1:6" ht="29" x14ac:dyDescent="0.35">
      <c r="A75" s="30">
        <v>10.1</v>
      </c>
      <c r="B75" s="10" t="s">
        <v>94</v>
      </c>
      <c r="C75" s="12" t="s">
        <v>9</v>
      </c>
      <c r="D75" s="68">
        <v>7.5</v>
      </c>
      <c r="E75" s="19">
        <v>8500</v>
      </c>
      <c r="F75" s="20">
        <f>D75*E75</f>
        <v>63750</v>
      </c>
    </row>
    <row r="76" spans="1:6" x14ac:dyDescent="0.35">
      <c r="A76" s="30"/>
      <c r="B76" s="10"/>
      <c r="C76" s="12"/>
      <c r="D76" s="67"/>
      <c r="E76" s="26" t="s">
        <v>50</v>
      </c>
      <c r="F76" s="24">
        <f>SUM(F75)</f>
        <v>63750</v>
      </c>
    </row>
    <row r="77" spans="1:6" x14ac:dyDescent="0.35">
      <c r="A77" s="30"/>
      <c r="B77" s="10"/>
      <c r="C77" s="12"/>
      <c r="D77" s="67"/>
      <c r="E77" s="17"/>
      <c r="F77" s="18"/>
    </row>
    <row r="78" spans="1:6" x14ac:dyDescent="0.35">
      <c r="A78" s="57">
        <v>11</v>
      </c>
      <c r="B78" s="11" t="s">
        <v>51</v>
      </c>
      <c r="C78" s="12"/>
      <c r="D78" s="67"/>
      <c r="E78" s="17"/>
      <c r="F78" s="18"/>
    </row>
    <row r="79" spans="1:6" x14ac:dyDescent="0.35">
      <c r="A79" s="30"/>
      <c r="B79" s="11" t="s">
        <v>52</v>
      </c>
      <c r="C79" s="12"/>
      <c r="D79" s="67"/>
      <c r="E79" s="17"/>
      <c r="F79" s="18"/>
    </row>
    <row r="80" spans="1:6" x14ac:dyDescent="0.35">
      <c r="A80" s="30">
        <v>11.1</v>
      </c>
      <c r="B80" s="10" t="s">
        <v>53</v>
      </c>
      <c r="C80" s="12" t="s">
        <v>10</v>
      </c>
      <c r="D80" s="67">
        <f>D46</f>
        <v>0</v>
      </c>
      <c r="E80" s="17"/>
      <c r="F80" s="18"/>
    </row>
    <row r="81" spans="1:6" x14ac:dyDescent="0.35">
      <c r="A81" s="30">
        <v>11.2</v>
      </c>
      <c r="B81" s="10" t="s">
        <v>78</v>
      </c>
      <c r="C81" s="12" t="s">
        <v>10</v>
      </c>
      <c r="D81" s="67">
        <f>D80</f>
        <v>0</v>
      </c>
      <c r="E81" s="19"/>
      <c r="F81" s="20">
        <f>D81*E81</f>
        <v>0</v>
      </c>
    </row>
    <row r="82" spans="1:6" x14ac:dyDescent="0.35">
      <c r="A82" s="30"/>
      <c r="B82" s="11" t="s">
        <v>54</v>
      </c>
      <c r="C82" s="12"/>
      <c r="D82" s="67"/>
      <c r="E82" s="17"/>
      <c r="F82" s="18"/>
    </row>
    <row r="83" spans="1:6" x14ac:dyDescent="0.35">
      <c r="A83" s="30">
        <v>11.3</v>
      </c>
      <c r="B83" s="10" t="s">
        <v>53</v>
      </c>
      <c r="C83" s="12" t="s">
        <v>10</v>
      </c>
      <c r="D83" s="67">
        <f>D53</f>
        <v>0</v>
      </c>
      <c r="E83" s="17"/>
      <c r="F83" s="18"/>
    </row>
    <row r="84" spans="1:6" x14ac:dyDescent="0.35">
      <c r="A84" s="30">
        <v>11.4</v>
      </c>
      <c r="B84" s="10" t="s">
        <v>105</v>
      </c>
      <c r="C84" s="12" t="s">
        <v>10</v>
      </c>
      <c r="D84" s="67">
        <f>D83</f>
        <v>0</v>
      </c>
      <c r="E84" s="19"/>
      <c r="F84" s="20">
        <f>D84*E84</f>
        <v>0</v>
      </c>
    </row>
    <row r="85" spans="1:6" x14ac:dyDescent="0.35">
      <c r="A85" s="30"/>
      <c r="B85" s="11" t="s">
        <v>55</v>
      </c>
      <c r="C85" s="12"/>
      <c r="D85" s="67"/>
      <c r="E85" s="17"/>
      <c r="F85" s="18"/>
    </row>
    <row r="86" spans="1:6" x14ac:dyDescent="0.35">
      <c r="A86" s="30">
        <v>11.5</v>
      </c>
      <c r="B86" s="10" t="s">
        <v>53</v>
      </c>
      <c r="C86" s="12" t="s">
        <v>10</v>
      </c>
      <c r="D86" s="67">
        <f>SUM(12*43560)-D80-D83-D69-D59</f>
        <v>362720</v>
      </c>
      <c r="E86" s="17"/>
      <c r="F86" s="18"/>
    </row>
    <row r="87" spans="1:6" x14ac:dyDescent="0.35">
      <c r="A87" s="30">
        <v>11.6</v>
      </c>
      <c r="B87" s="10" t="s">
        <v>106</v>
      </c>
      <c r="C87" s="12" t="s">
        <v>10</v>
      </c>
      <c r="D87" s="67">
        <f>D86</f>
        <v>362720</v>
      </c>
      <c r="E87" s="19">
        <v>0.85</v>
      </c>
      <c r="F87" s="20">
        <f>D87*E87</f>
        <v>308312</v>
      </c>
    </row>
    <row r="88" spans="1:6" x14ac:dyDescent="0.35">
      <c r="A88" s="30">
        <v>11.7</v>
      </c>
      <c r="B88" s="10" t="s">
        <v>107</v>
      </c>
      <c r="C88" s="12" t="s">
        <v>10</v>
      </c>
      <c r="D88" s="67">
        <f>SUM(D86-D87)</f>
        <v>0</v>
      </c>
      <c r="E88" s="19"/>
      <c r="F88" s="20">
        <f>D88*E88</f>
        <v>0</v>
      </c>
    </row>
    <row r="89" spans="1:6" x14ac:dyDescent="0.35">
      <c r="A89" s="10"/>
      <c r="B89" s="10"/>
      <c r="C89" s="12"/>
      <c r="D89" s="67"/>
      <c r="E89" s="26" t="s">
        <v>56</v>
      </c>
      <c r="F89" s="24">
        <f>SUM(F81:F88)</f>
        <v>308312</v>
      </c>
    </row>
    <row r="90" spans="1:6" x14ac:dyDescent="0.35">
      <c r="E90"/>
      <c r="F90"/>
    </row>
    <row r="91" spans="1:6" x14ac:dyDescent="0.35">
      <c r="E91"/>
      <c r="F91"/>
    </row>
    <row r="92" spans="1:6" x14ac:dyDescent="0.35">
      <c r="E92"/>
      <c r="F92" s="16"/>
    </row>
    <row r="93" spans="1:6" x14ac:dyDescent="0.35">
      <c r="E93"/>
      <c r="F93"/>
    </row>
    <row r="94" spans="1:6" x14ac:dyDescent="0.35">
      <c r="E94"/>
      <c r="F94"/>
    </row>
    <row r="95" spans="1:6" x14ac:dyDescent="0.35">
      <c r="E95"/>
      <c r="F95"/>
    </row>
    <row r="96" spans="1:6" x14ac:dyDescent="0.35">
      <c r="E96"/>
      <c r="F96"/>
    </row>
    <row r="97" spans="5:6" x14ac:dyDescent="0.35">
      <c r="E97"/>
      <c r="F97"/>
    </row>
    <row r="98" spans="5:6" x14ac:dyDescent="0.35">
      <c r="E98"/>
      <c r="F98"/>
    </row>
    <row r="99" spans="5:6" x14ac:dyDescent="0.35">
      <c r="E99"/>
      <c r="F99"/>
    </row>
    <row r="100" spans="5:6" x14ac:dyDescent="0.35">
      <c r="E100"/>
      <c r="F100"/>
    </row>
    <row r="101" spans="5:6" x14ac:dyDescent="0.35">
      <c r="E101"/>
      <c r="F101"/>
    </row>
    <row r="102" spans="5:6" x14ac:dyDescent="0.35">
      <c r="E102"/>
      <c r="F102"/>
    </row>
    <row r="103" spans="5:6" x14ac:dyDescent="0.35">
      <c r="E103"/>
      <c r="F103"/>
    </row>
    <row r="104" spans="5:6" x14ac:dyDescent="0.35">
      <c r="E104"/>
      <c r="F104"/>
    </row>
    <row r="105" spans="5:6" x14ac:dyDescent="0.35">
      <c r="E105"/>
      <c r="F105"/>
    </row>
    <row r="106" spans="5:6" x14ac:dyDescent="0.35">
      <c r="E106"/>
      <c r="F106"/>
    </row>
    <row r="107" spans="5:6" x14ac:dyDescent="0.35">
      <c r="E107"/>
      <c r="F107"/>
    </row>
    <row r="108" spans="5:6" x14ac:dyDescent="0.35">
      <c r="E108"/>
      <c r="F108"/>
    </row>
    <row r="109" spans="5:6" x14ac:dyDescent="0.35">
      <c r="E109"/>
      <c r="F109"/>
    </row>
    <row r="110" spans="5:6" x14ac:dyDescent="0.35">
      <c r="E110"/>
      <c r="F110"/>
    </row>
    <row r="111" spans="5:6" x14ac:dyDescent="0.35">
      <c r="E111"/>
      <c r="F111"/>
    </row>
    <row r="112" spans="5:6" x14ac:dyDescent="0.35">
      <c r="E112"/>
      <c r="F112"/>
    </row>
    <row r="113" spans="5:6" x14ac:dyDescent="0.35">
      <c r="E113"/>
      <c r="F113"/>
    </row>
    <row r="114" spans="5:6" x14ac:dyDescent="0.35">
      <c r="E114"/>
      <c r="F114"/>
    </row>
    <row r="115" spans="5:6" x14ac:dyDescent="0.35">
      <c r="E115"/>
      <c r="F115"/>
    </row>
    <row r="116" spans="5:6" x14ac:dyDescent="0.35">
      <c r="E116"/>
      <c r="F116"/>
    </row>
    <row r="117" spans="5:6" x14ac:dyDescent="0.35">
      <c r="E117"/>
      <c r="F117"/>
    </row>
    <row r="118" spans="5:6" x14ac:dyDescent="0.35">
      <c r="E118"/>
      <c r="F118"/>
    </row>
    <row r="119" spans="5:6" x14ac:dyDescent="0.35">
      <c r="E119"/>
      <c r="F119"/>
    </row>
    <row r="120" spans="5:6" x14ac:dyDescent="0.35">
      <c r="E120"/>
      <c r="F120"/>
    </row>
    <row r="121" spans="5:6" x14ac:dyDescent="0.35">
      <c r="E121"/>
      <c r="F121"/>
    </row>
    <row r="122" spans="5:6" x14ac:dyDescent="0.35">
      <c r="E122"/>
      <c r="F122"/>
    </row>
    <row r="123" spans="5:6" x14ac:dyDescent="0.35">
      <c r="E123"/>
      <c r="F123"/>
    </row>
    <row r="124" spans="5:6" x14ac:dyDescent="0.35">
      <c r="E124"/>
      <c r="F124"/>
    </row>
    <row r="125" spans="5:6" x14ac:dyDescent="0.35">
      <c r="E125"/>
      <c r="F125"/>
    </row>
    <row r="126" spans="5:6" x14ac:dyDescent="0.35">
      <c r="E126"/>
      <c r="F126"/>
    </row>
    <row r="127" spans="5:6" x14ac:dyDescent="0.35">
      <c r="E127"/>
      <c r="F127"/>
    </row>
    <row r="128" spans="5:6" x14ac:dyDescent="0.35">
      <c r="E128"/>
      <c r="F128"/>
    </row>
    <row r="129" spans="5:6" x14ac:dyDescent="0.35">
      <c r="E129"/>
      <c r="F129"/>
    </row>
    <row r="130" spans="5:6" x14ac:dyDescent="0.35">
      <c r="E130"/>
      <c r="F130"/>
    </row>
    <row r="131" spans="5:6" x14ac:dyDescent="0.35">
      <c r="E131"/>
      <c r="F131"/>
    </row>
    <row r="132" spans="5:6" x14ac:dyDescent="0.35">
      <c r="E132"/>
      <c r="F132"/>
    </row>
    <row r="133" spans="5:6" x14ac:dyDescent="0.35">
      <c r="E133"/>
      <c r="F133"/>
    </row>
    <row r="134" spans="5:6" x14ac:dyDescent="0.35">
      <c r="E134"/>
      <c r="F134"/>
    </row>
    <row r="135" spans="5:6" x14ac:dyDescent="0.35">
      <c r="E135"/>
      <c r="F135"/>
    </row>
    <row r="136" spans="5:6" x14ac:dyDescent="0.35">
      <c r="E136"/>
      <c r="F136"/>
    </row>
    <row r="137" spans="5:6" x14ac:dyDescent="0.35">
      <c r="E137"/>
      <c r="F137"/>
    </row>
    <row r="138" spans="5:6" x14ac:dyDescent="0.35">
      <c r="E138"/>
      <c r="F138"/>
    </row>
    <row r="139" spans="5:6" x14ac:dyDescent="0.35">
      <c r="E139"/>
      <c r="F139"/>
    </row>
    <row r="140" spans="5:6" x14ac:dyDescent="0.35">
      <c r="E140"/>
      <c r="F140"/>
    </row>
    <row r="141" spans="5:6" x14ac:dyDescent="0.35">
      <c r="E141"/>
      <c r="F141"/>
    </row>
    <row r="142" spans="5:6" x14ac:dyDescent="0.35">
      <c r="E142"/>
      <c r="F142"/>
    </row>
    <row r="143" spans="5:6" x14ac:dyDescent="0.35">
      <c r="E143"/>
      <c r="F143"/>
    </row>
    <row r="144" spans="5:6" x14ac:dyDescent="0.35">
      <c r="E144"/>
      <c r="F144"/>
    </row>
    <row r="145" spans="5:6" x14ac:dyDescent="0.35">
      <c r="E145"/>
      <c r="F145"/>
    </row>
    <row r="146" spans="5:6" x14ac:dyDescent="0.35">
      <c r="E146"/>
      <c r="F146"/>
    </row>
    <row r="147" spans="5:6" x14ac:dyDescent="0.35">
      <c r="E147"/>
      <c r="F147"/>
    </row>
    <row r="148" spans="5:6" x14ac:dyDescent="0.35">
      <c r="E148"/>
      <c r="F148"/>
    </row>
    <row r="149" spans="5:6" x14ac:dyDescent="0.35">
      <c r="E149"/>
      <c r="F149"/>
    </row>
    <row r="150" spans="5:6" x14ac:dyDescent="0.35">
      <c r="E150"/>
      <c r="F150"/>
    </row>
    <row r="151" spans="5:6" x14ac:dyDescent="0.35">
      <c r="E151"/>
      <c r="F151"/>
    </row>
    <row r="152" spans="5:6" x14ac:dyDescent="0.35">
      <c r="E152"/>
      <c r="F152"/>
    </row>
    <row r="153" spans="5:6" x14ac:dyDescent="0.35">
      <c r="E153"/>
      <c r="F153"/>
    </row>
    <row r="154" spans="5:6" x14ac:dyDescent="0.35">
      <c r="E154"/>
      <c r="F154"/>
    </row>
    <row r="155" spans="5:6" x14ac:dyDescent="0.35">
      <c r="E155"/>
      <c r="F155"/>
    </row>
    <row r="156" spans="5:6" x14ac:dyDescent="0.35">
      <c r="E156"/>
      <c r="F156"/>
    </row>
    <row r="157" spans="5:6" x14ac:dyDescent="0.35">
      <c r="E157"/>
      <c r="F157"/>
    </row>
    <row r="158" spans="5:6" x14ac:dyDescent="0.35">
      <c r="E158"/>
      <c r="F158"/>
    </row>
    <row r="159" spans="5:6" x14ac:dyDescent="0.35">
      <c r="E159"/>
      <c r="F159"/>
    </row>
    <row r="160" spans="5:6" x14ac:dyDescent="0.35">
      <c r="E160"/>
      <c r="F160"/>
    </row>
    <row r="161" spans="5:6" x14ac:dyDescent="0.35">
      <c r="E161"/>
      <c r="F161"/>
    </row>
    <row r="162" spans="5:6" x14ac:dyDescent="0.35">
      <c r="E162"/>
      <c r="F162"/>
    </row>
    <row r="163" spans="5:6" x14ac:dyDescent="0.35">
      <c r="E163"/>
      <c r="F163"/>
    </row>
    <row r="164" spans="5:6" x14ac:dyDescent="0.35">
      <c r="E164"/>
      <c r="F164"/>
    </row>
    <row r="165" spans="5:6" x14ac:dyDescent="0.35">
      <c r="E165"/>
      <c r="F165"/>
    </row>
    <row r="166" spans="5:6" x14ac:dyDescent="0.35">
      <c r="E166"/>
      <c r="F166"/>
    </row>
    <row r="167" spans="5:6" x14ac:dyDescent="0.35">
      <c r="E167"/>
      <c r="F167"/>
    </row>
    <row r="168" spans="5:6" x14ac:dyDescent="0.35">
      <c r="E168"/>
      <c r="F168"/>
    </row>
    <row r="169" spans="5:6" x14ac:dyDescent="0.35">
      <c r="E169"/>
      <c r="F169"/>
    </row>
    <row r="170" spans="5:6" x14ac:dyDescent="0.35">
      <c r="E170"/>
      <c r="F170"/>
    </row>
    <row r="171" spans="5:6" x14ac:dyDescent="0.35">
      <c r="E171"/>
      <c r="F171"/>
    </row>
    <row r="172" spans="5:6" x14ac:dyDescent="0.35">
      <c r="E172"/>
      <c r="F172"/>
    </row>
    <row r="173" spans="5:6" x14ac:dyDescent="0.35">
      <c r="E173"/>
      <c r="F173"/>
    </row>
    <row r="174" spans="5:6" x14ac:dyDescent="0.35">
      <c r="E174"/>
      <c r="F174"/>
    </row>
    <row r="175" spans="5:6" x14ac:dyDescent="0.35">
      <c r="E175"/>
      <c r="F175"/>
    </row>
    <row r="176" spans="5:6" x14ac:dyDescent="0.35">
      <c r="E176"/>
      <c r="F176"/>
    </row>
    <row r="177" spans="5:6" x14ac:dyDescent="0.35">
      <c r="E177"/>
      <c r="F177"/>
    </row>
    <row r="178" spans="5:6" x14ac:dyDescent="0.35">
      <c r="E178"/>
      <c r="F178"/>
    </row>
    <row r="179" spans="5:6" x14ac:dyDescent="0.35">
      <c r="E179"/>
      <c r="F179"/>
    </row>
    <row r="180" spans="5:6" x14ac:dyDescent="0.35">
      <c r="E180"/>
      <c r="F180"/>
    </row>
    <row r="181" spans="5:6" x14ac:dyDescent="0.35">
      <c r="E181"/>
      <c r="F181"/>
    </row>
    <row r="182" spans="5:6" x14ac:dyDescent="0.35">
      <c r="E182"/>
      <c r="F182"/>
    </row>
    <row r="183" spans="5:6" x14ac:dyDescent="0.35">
      <c r="E183"/>
      <c r="F183"/>
    </row>
    <row r="184" spans="5:6" x14ac:dyDescent="0.35">
      <c r="E184"/>
      <c r="F184"/>
    </row>
  </sheetData>
  <mergeCells count="2">
    <mergeCell ref="A1:F1"/>
    <mergeCell ref="B74:D74"/>
  </mergeCells>
  <pageMargins left="0.7" right="0.7" top="0.75" bottom="0.75" header="0.3" footer="0.3"/>
  <pageSetup scale="69" orientation="landscape" r:id="rId1"/>
  <rowBreaks count="3" manualBreakCount="3">
    <brk id="12" max="5" man="1"/>
    <brk id="32" max="16383" man="1"/>
    <brk id="64"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Summary</vt:lpstr>
      <vt:lpstr>Practice Facilties</vt:lpstr>
      <vt:lpstr>Two PGs</vt:lpstr>
      <vt:lpstr>Re-Build Bunkers on the 27</vt:lpstr>
      <vt:lpstr>'Practice Facilties'!Print_Area</vt:lpstr>
      <vt:lpstr>'Re-Build Bunkers on the 27'!Print_Area</vt:lpstr>
      <vt:lpstr>Summary!Print_Area</vt:lpstr>
      <vt:lpstr>'Two PGs'!Print_Area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Hunter Rigsby</dc:creator>
  <cp:lastModifiedBy>Kyle Regen</cp:lastModifiedBy>
  <cp:lastPrinted>2025-08-29T19:26:33Z</cp:lastPrinted>
  <dcterms:created xsi:type="dcterms:W3CDTF">2021-12-15T14:31:09Z</dcterms:created>
  <dcterms:modified xsi:type="dcterms:W3CDTF">2026-03-27T16:47:32Z</dcterms:modified>
</cp:coreProperties>
</file>