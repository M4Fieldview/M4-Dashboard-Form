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84ee600a-7622-44cf-acf7-60034b811134/WOPIServiceId_TP_EGNYTE_PLUS/WOPIUserId_-/"/>
    </mc:Choice>
  </mc:AlternateContent>
  <xr:revisionPtr revIDLastSave="183" documentId="13_ncr:1_{B3BFCD1F-FF0F-4613-9FB1-18347D32C406}" xr6:coauthVersionLast="47" xr6:coauthVersionMax="47" xr10:uidLastSave="{EDEAF468-9D86-4A53-B1A8-742D5F815E3E}"/>
  <bookViews>
    <workbookView xWindow="-120" yWindow="-120" windowWidth="29040" windowHeight="15720" xr2:uid="{4D2A3624-2534-4AB0-8981-22EA8C488494}"/>
  </bookViews>
  <sheets>
    <sheet name="Stonetree " sheetId="1" r:id="rId1"/>
  </sheets>
  <definedNames>
    <definedName name="Air_Release" localSheetId="0">'Stonetree '!#REF!</definedName>
    <definedName name="Air_Release">#REF!</definedName>
    <definedName name="AlertAns3" localSheetId="0">#REF!</definedName>
    <definedName name="AlertAns3">#REF!</definedName>
    <definedName name="Bushings_SCH40" localSheetId="0">'Stonetree '!#REF!</definedName>
    <definedName name="Bushings_SCH40">#REF!</definedName>
    <definedName name="Bushings_SCH80" localSheetId="0">'Stonetree '!#REF!</definedName>
    <definedName name="Bushings_SCH80">#REF!</definedName>
    <definedName name="Carson_Boxes" localSheetId="0">'Stonetree '!#REF!</definedName>
    <definedName name="Carson_Boxes">#REF!</definedName>
    <definedName name="D_B_Surge_Protection" localSheetId="0">'Stonetree '!#REF!</definedName>
    <definedName name="D_B_Surge_Protection">#REF!</definedName>
    <definedName name="Duct_10" localSheetId="0">'Stonetree '!#REF!</definedName>
    <definedName name="Duct_10">#REF!</definedName>
    <definedName name="Duct_12" localSheetId="0">'Stonetree '!#REF!</definedName>
    <definedName name="Duct_12">#REF!</definedName>
    <definedName name="Duct_14" localSheetId="0">'Stonetree '!#REF!</definedName>
    <definedName name="Duct_14">#REF!</definedName>
    <definedName name="Duct_16" localSheetId="0">'Stonetree '!#REF!</definedName>
    <definedName name="Duct_16">#REF!</definedName>
    <definedName name="Duct_2" localSheetId="0">'Stonetree '!#REF!</definedName>
    <definedName name="Duct_2">#REF!</definedName>
    <definedName name="Duct_2.5" localSheetId="0">'Stonetree '!#REF!</definedName>
    <definedName name="Duct_2.5">#REF!</definedName>
    <definedName name="Duct_3" localSheetId="0">'Stonetree '!#REF!</definedName>
    <definedName name="Duct_3">#REF!</definedName>
    <definedName name="Duct_4" localSheetId="0">'Stonetree '!#REF!</definedName>
    <definedName name="Duct_4">#REF!</definedName>
    <definedName name="Duct_6" localSheetId="0">'Stonetree '!#REF!</definedName>
    <definedName name="Duct_6">#REF!</definedName>
    <definedName name="Duct_8" localSheetId="0">'Stonetree '!#REF!</definedName>
    <definedName name="Duct_8">#REF!</definedName>
    <definedName name="Eagle_Pipe" localSheetId="0">'Stonetree '!#REF!</definedName>
    <definedName name="Eagle_Pipe">#REF!</definedName>
    <definedName name="Feet_Pipe" localSheetId="0">'Stonetree '!#REF!</definedName>
    <definedName name="Feet_Pipe">#REF!</definedName>
    <definedName name="First_Cell" localSheetId="0">'Stonetree '!#REF!</definedName>
    <definedName name="First_Cell">#REF!</definedName>
    <definedName name="First_Cell_Legacy" localSheetId="0">#REF!</definedName>
    <definedName name="First_Cell_Legacy">#REF!</definedName>
    <definedName name="First_Cell_Rain" localSheetId="0">#REF!</definedName>
    <definedName name="First_Cell_Rain">#REF!</definedName>
    <definedName name="Gate_Valves" localSheetId="0">'Stonetree '!#REF!</definedName>
    <definedName name="Gate_Valves">#REF!</definedName>
    <definedName name="Gate_Valves_Brass" localSheetId="0">'Stonetree '!#REF!</definedName>
    <definedName name="Gate_Valves_Brass">#REF!</definedName>
    <definedName name="Hammond" localSheetId="0">'Stonetree '!#REF!</definedName>
    <definedName name="Hammond">#REF!</definedName>
    <definedName name="Hammond_Mult">0.44</definedName>
    <definedName name="Harco_CL200_Mult">0.72</definedName>
    <definedName name="Harco_Duct" localSheetId="0">'Stonetree '!#REF!</definedName>
    <definedName name="Harco_Duct">#REF!</definedName>
    <definedName name="Harco_Mult">0.61</definedName>
    <definedName name="Harco_PVC_Gasketed" localSheetId="0">'Stonetree '!#REF!</definedName>
    <definedName name="Harco_PVC_Gasketed">#REF!</definedName>
    <definedName name="Heads" localSheetId="0">'Stonetree '!$D$40</definedName>
    <definedName name="Heads">#REF!</definedName>
    <definedName name="Heads_Number_Of" localSheetId="0">'Stonetree '!$D$40</definedName>
    <definedName name="Heads_Number_Of">#REF!</definedName>
    <definedName name="Hoffman" localSheetId="0">'Stonetree '!#REF!</definedName>
    <definedName name="Hoffman">#REF!</definedName>
    <definedName name="Kennedy" localSheetId="0">'Stonetree '!#REF!</definedName>
    <definedName name="Kennedy">#REF!</definedName>
    <definedName name="Labor" localSheetId="0">'Stonetree '!#REF!</definedName>
    <definedName name="Labor">#REF!</definedName>
    <definedName name="Lasco_40_Mult">0.35</definedName>
    <definedName name="Lasco_80_Mult">0.25</definedName>
    <definedName name="Lasco_Nipple_Mult">0.35</definedName>
    <definedName name="Lasco_SCH40" localSheetId="0">'Stonetree '!#REF!</definedName>
    <definedName name="Lasco_SCH40">#REF!</definedName>
    <definedName name="Lasco_SCH80" localSheetId="0">'Stonetree '!#REF!</definedName>
    <definedName name="Lasco_SCH80">#REF!</definedName>
    <definedName name="Lasco_SW_JT_Mult">0.2834</definedName>
    <definedName name="Last_Cell" localSheetId="0">'Stonetree '!#REF!</definedName>
    <definedName name="Last_Cell">#REF!</definedName>
    <definedName name="Last_Cell_Legacy" localSheetId="0">#REF!</definedName>
    <definedName name="Last_Cell_Legacy">#REF!</definedName>
    <definedName name="Last_Cell_Rain" localSheetId="0">#REF!</definedName>
    <definedName name="Last_Cell_Rain">#REF!</definedName>
    <definedName name="Legacy_A_Mult">0.6</definedName>
    <definedName name="LTC_Plus" localSheetId="0">'Stonetree '!#REF!</definedName>
    <definedName name="LTC_Plus">#REF!</definedName>
    <definedName name="MISCELLANEOUS" localSheetId="0">'Stonetree '!$B$220</definedName>
    <definedName name="MISCELLANEOUS">#REF!</definedName>
    <definedName name="NETWORK_DR2" localSheetId="0">'Stonetree '!#REF!</definedName>
    <definedName name="NETWORK_DR2">#REF!</definedName>
    <definedName name="NETWORK_LTC" localSheetId="0">'Stonetree '!#REF!</definedName>
    <definedName name="NETWORK_LTC">#REF!</definedName>
    <definedName name="Nipples" localSheetId="0">'Stonetree '!#REF!</definedName>
    <definedName name="Nipples">#REF!</definedName>
    <definedName name="OSMAC_Centrals" localSheetId="0">'Stonetree '!$B$32</definedName>
    <definedName name="OSMAC_Centrals">#REF!</definedName>
    <definedName name="OSMAC_Controllers" localSheetId="0">'Stonetree '!#REF!</definedName>
    <definedName name="OSMAC_Controllers">#REF!</definedName>
    <definedName name="Pipe" localSheetId="0">'Stonetree '!#REF!</definedName>
    <definedName name="Pipe">#REF!</definedName>
    <definedName name="_xlnm.Print_Area" localSheetId="0">'Stonetree '!$A$1:$E$239</definedName>
    <definedName name="_xlnm.Print_Titles" localSheetId="0">'Stonetree '!$1:$3</definedName>
    <definedName name="Print_WO_QTY_Legacy" localSheetId="0">#REF!</definedName>
    <definedName name="Print_WO_QTY_Legacy">#REF!</definedName>
    <definedName name="Print_WO_QTY_Rain" localSheetId="0">#REF!</definedName>
    <definedName name="Print_WO_QTY_Rain">#REF!</definedName>
    <definedName name="Quick_Coupling_Valves" localSheetId="0">'Stonetree '!$B$54</definedName>
    <definedName name="Quick_Coupling_Valves">#REF!</definedName>
    <definedName name="Radios" localSheetId="0">'Stonetree '!#REF!</definedName>
    <definedName name="Radios">#REF!</definedName>
    <definedName name="Rain_A_Mult">0.6</definedName>
    <definedName name="_xlnm.Recorder" localSheetId="0">#REF!</definedName>
    <definedName name="_xlnm.Recorder">#REF!</definedName>
    <definedName name="Rector_Seal" localSheetId="0">'Stonetree '!#REF!</definedName>
    <definedName name="Rector_Seal">#REF!</definedName>
    <definedName name="Rockwell" localSheetId="0">'Stonetree '!#REF!</definedName>
    <definedName name="Rockwell">#REF!</definedName>
    <definedName name="Romac" localSheetId="0">'Stonetree '!#REF!</definedName>
    <definedName name="Romac">#REF!</definedName>
    <definedName name="Service_TEES" localSheetId="0">'Stonetree '!#REF!</definedName>
    <definedName name="Service_TEES">#REF!</definedName>
    <definedName name="SiteProCentrals" localSheetId="0">'Stonetree '!$B$32</definedName>
    <definedName name="SiteProCentrals">#REF!</definedName>
    <definedName name="SORT_DBS" localSheetId="0">#REF!</definedName>
    <definedName name="SORT_DBS">#REF!</definedName>
    <definedName name="SPEARS" localSheetId="0">'Stonetree '!#REF!</definedName>
    <definedName name="SPEARS">#REF!</definedName>
    <definedName name="Sprinkler_730" localSheetId="0">'Stonetree '!#REF!</definedName>
    <definedName name="Sprinkler_730">#REF!</definedName>
    <definedName name="Sprinkler_750" localSheetId="0">'Stonetree '!#REF!</definedName>
    <definedName name="Sprinkler_750">#REF!</definedName>
    <definedName name="Sprinkler_760" localSheetId="0">'Stonetree '!#REF!</definedName>
    <definedName name="Sprinkler_760">#REF!</definedName>
    <definedName name="Sprinkler_780" localSheetId="0">'Stonetree '!#REF!</definedName>
    <definedName name="Sprinkler_780">#REF!</definedName>
    <definedName name="Sprinklers" localSheetId="0">'Stonetree '!#REF!</definedName>
    <definedName name="Sprinklers">#REF!</definedName>
    <definedName name="Surge_Protection" localSheetId="0">'Stonetree '!#REF!</definedName>
    <definedName name="Surge_Protection">#REF!</definedName>
    <definedName name="Swing_Joints" localSheetId="0">'Stonetree '!#REF!</definedName>
    <definedName name="Swing_Joints">#REF!</definedName>
    <definedName name="Tax">0</definedName>
    <definedName name="Tools" localSheetId="0">'Stonetree '!$B$58</definedName>
    <definedName name="Tools">#REF!</definedName>
    <definedName name="Toro_750" localSheetId="0">'Stonetree '!#REF!</definedName>
    <definedName name="Toro_750">#REF!</definedName>
    <definedName name="Toro_A_Mult">0.6</definedName>
    <definedName name="Toro_B_Mult">1</definedName>
    <definedName name="Toro_D_Mult">1</definedName>
    <definedName name="Total" localSheetId="0">'Stonetree '!#REF!</definedName>
    <definedName name="Total">#REF!</definedName>
    <definedName name="Vacuum_Breaker" localSheetId="0">'Stonetree '!#REF!</definedName>
    <definedName name="Vacuum_Breaker">#REF!</definedName>
    <definedName name="Waterous" localSheetId="0">'Stonetree '!#REF!</definedName>
    <definedName name="Waterous">#REF!</definedName>
    <definedName name="Wire" localSheetId="0">'Stonetree '!#REF!</definedName>
    <definedName name="Wire">#REF!</definedName>
    <definedName name="Wire_Accessories" localSheetId="0">'Stonetree '!$B$213</definedName>
    <definedName name="Wire_Accessori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239" i="1"/>
  <c r="C237" i="1"/>
  <c r="E237" i="1" s="1"/>
  <c r="A237" i="1"/>
  <c r="C236" i="1"/>
  <c r="E236" i="1" s="1"/>
  <c r="A236" i="1"/>
  <c r="E235" i="1"/>
  <c r="A235" i="1"/>
  <c r="C234" i="1"/>
  <c r="E234" i="1" s="1"/>
  <c r="E232" i="1"/>
  <c r="E231" i="1"/>
  <c r="E230" i="1"/>
  <c r="E229" i="1"/>
  <c r="E228" i="1"/>
  <c r="A228" i="1"/>
  <c r="E227" i="1"/>
  <c r="A227" i="1"/>
  <c r="E226" i="1"/>
  <c r="E225" i="1"/>
  <c r="A225" i="1"/>
  <c r="E224" i="1"/>
  <c r="E223" i="1"/>
  <c r="E222" i="1"/>
  <c r="E221" i="1"/>
  <c r="E218" i="1"/>
  <c r="E217" i="1"/>
  <c r="E216" i="1"/>
  <c r="E215" i="1"/>
  <c r="E214" i="1"/>
  <c r="E213" i="1"/>
  <c r="E212" i="1"/>
  <c r="D211" i="1"/>
  <c r="E211" i="1" s="1"/>
  <c r="D210" i="1"/>
  <c r="E210" i="1" s="1"/>
  <c r="D209" i="1"/>
  <c r="E209" i="1" s="1"/>
  <c r="D208" i="1"/>
  <c r="E208" i="1" s="1"/>
  <c r="E207" i="1"/>
  <c r="D206" i="1"/>
  <c r="E206" i="1" s="1"/>
  <c r="E205" i="1"/>
  <c r="A205" i="1"/>
  <c r="E204" i="1"/>
  <c r="E203" i="1"/>
  <c r="E202" i="1"/>
  <c r="E201" i="1"/>
  <c r="E200" i="1"/>
  <c r="E198" i="1"/>
  <c r="E197" i="1"/>
  <c r="E196" i="1"/>
  <c r="E193" i="1"/>
  <c r="E192" i="1"/>
  <c r="E191" i="1"/>
  <c r="E188" i="1"/>
  <c r="E187" i="1"/>
  <c r="E186" i="1"/>
  <c r="E183" i="1"/>
  <c r="E182" i="1"/>
  <c r="E179" i="1"/>
  <c r="E178" i="1"/>
  <c r="E177" i="1"/>
  <c r="E176" i="1"/>
  <c r="E173" i="1"/>
  <c r="E170" i="1"/>
  <c r="E169" i="1"/>
  <c r="E166" i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E158" i="1"/>
  <c r="E157" i="1"/>
  <c r="E154" i="1"/>
  <c r="E153" i="1"/>
  <c r="E152" i="1"/>
  <c r="E151" i="1"/>
  <c r="E150" i="1"/>
  <c r="E149" i="1"/>
  <c r="E148" i="1"/>
  <c r="E147" i="1"/>
  <c r="E144" i="1"/>
  <c r="D141" i="1"/>
  <c r="E141" i="1" s="1"/>
  <c r="D140" i="1"/>
  <c r="E139" i="1"/>
  <c r="E138" i="1"/>
  <c r="D137" i="1"/>
  <c r="E137" i="1" s="1"/>
  <c r="E136" i="1"/>
  <c r="E130" i="1"/>
  <c r="E129" i="1"/>
  <c r="E128" i="1"/>
  <c r="D124" i="1"/>
  <c r="D125" i="1" s="1"/>
  <c r="E125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E100" i="1"/>
  <c r="E99" i="1"/>
  <c r="E93" i="1"/>
  <c r="E92" i="1"/>
  <c r="A92" i="1"/>
  <c r="E91" i="1"/>
  <c r="E90" i="1"/>
  <c r="A90" i="1"/>
  <c r="E89" i="1"/>
  <c r="A89" i="1"/>
  <c r="D86" i="1"/>
  <c r="D95" i="1" s="1"/>
  <c r="E95" i="1" s="1"/>
  <c r="D81" i="1"/>
  <c r="A226" i="1" s="1"/>
  <c r="E80" i="1"/>
  <c r="E79" i="1"/>
  <c r="E78" i="1"/>
  <c r="E77" i="1"/>
  <c r="D73" i="1"/>
  <c r="E72" i="1"/>
  <c r="E71" i="1"/>
  <c r="E70" i="1"/>
  <c r="E69" i="1"/>
  <c r="E68" i="1"/>
  <c r="E67" i="1"/>
  <c r="E66" i="1"/>
  <c r="E63" i="1"/>
  <c r="E62" i="1"/>
  <c r="E61" i="1"/>
  <c r="E60" i="1"/>
  <c r="E56" i="1"/>
  <c r="E55" i="1"/>
  <c r="D51" i="1"/>
  <c r="D50" i="1"/>
  <c r="E50" i="1" s="1"/>
  <c r="D49" i="1"/>
  <c r="E49" i="1" s="1"/>
  <c r="E48" i="1"/>
  <c r="E45" i="1"/>
  <c r="E44" i="1"/>
  <c r="E39" i="1"/>
  <c r="E38" i="1"/>
  <c r="E37" i="1"/>
  <c r="D36" i="1"/>
  <c r="E36" i="1" s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5" i="1"/>
  <c r="E12" i="1"/>
  <c r="E11" i="1"/>
  <c r="E10" i="1"/>
  <c r="E9" i="1"/>
  <c r="E8" i="1"/>
  <c r="B2" i="1"/>
  <c r="D94" i="1" l="1"/>
  <c r="E94" i="1" s="1"/>
  <c r="D131" i="1"/>
  <c r="D133" i="1" s="1"/>
  <c r="E133" i="1" s="1"/>
  <c r="E81" i="1"/>
  <c r="E51" i="1"/>
  <c r="E86" i="1"/>
  <c r="D87" i="1"/>
  <c r="E87" i="1" s="1"/>
  <c r="D127" i="1"/>
  <c r="E127" i="1" s="1"/>
  <c r="D143" i="1"/>
  <c r="E143" i="1" s="1"/>
  <c r="E140" i="1"/>
  <c r="D52" i="1"/>
  <c r="E52" i="1" s="1"/>
  <c r="D146" i="1"/>
  <c r="D40" i="1"/>
  <c r="A234" i="1" s="1"/>
  <c r="D142" i="1"/>
  <c r="E142" i="1" s="1"/>
  <c r="D126" i="1"/>
  <c r="E126" i="1" s="1"/>
  <c r="E124" i="1"/>
  <c r="D65" i="1"/>
  <c r="D156" i="1"/>
  <c r="D98" i="1"/>
  <c r="D82" i="1"/>
  <c r="E82" i="1" s="1"/>
  <c r="D168" i="1"/>
  <c r="D88" i="1"/>
  <c r="E88" i="1" s="1"/>
  <c r="D47" i="1" l="1"/>
  <c r="E131" i="1"/>
  <c r="D135" i="1"/>
  <c r="D132" i="1"/>
  <c r="E132" i="1" s="1"/>
  <c r="D76" i="1"/>
  <c r="D85" i="1"/>
  <c r="D35" i="1"/>
  <c r="E35" i="1" s="1"/>
  <c r="A224" i="1"/>
  <c r="D123" i="1" l="1"/>
  <c r="D6" i="1"/>
</calcChain>
</file>

<file path=xl/sharedStrings.xml><?xml version="1.0" encoding="utf-8"?>
<sst xmlns="http://schemas.openxmlformats.org/spreadsheetml/2006/main" count="300" uniqueCount="233">
  <si>
    <t>TORO</t>
  </si>
  <si>
    <t>Stonetree CC Kileen tx</t>
  </si>
  <si>
    <t>QTY</t>
  </si>
  <si>
    <t>TOTAL</t>
  </si>
  <si>
    <t xml:space="preserve">* </t>
  </si>
  <si>
    <t>CENTRAL CONTROL</t>
  </si>
  <si>
    <t>NSN-ULTIMATE-L</t>
  </si>
  <si>
    <t>LYNX CE, LSS, LST, 5Y</t>
  </si>
  <si>
    <t>NO CHARGE</t>
  </si>
  <si>
    <t>CS_Opt</t>
  </si>
  <si>
    <t>CS Optimization (Includes computer set-up &amp; training, initial start up training.</t>
  </si>
  <si>
    <t>LSFI-SR</t>
  </si>
  <si>
    <t>LSFI, Standard Wire + Comm Radio</t>
  </si>
  <si>
    <t>RF_Opt</t>
  </si>
  <si>
    <t>RF Optimization (Includes Frequency Survey, with new FCC license application)</t>
  </si>
  <si>
    <t>DE-RSP-1000-M</t>
  </si>
  <si>
    <t>DEC-RSP-1000-M</t>
  </si>
  <si>
    <t>GT</t>
  </si>
  <si>
    <t>GROUND TESTING, includes up to 30 ground points w/ 8-hrs. onsite max</t>
  </si>
  <si>
    <t>TORO SATELLITE CONTROLLER</t>
  </si>
  <si>
    <t>LSM-1</t>
  </si>
  <si>
    <t>LYNX SMART MODULE, 1 STA</t>
  </si>
  <si>
    <t>TORO VIH ROTORS</t>
  </si>
  <si>
    <t>FLX35-348-2</t>
  </si>
  <si>
    <t>SPK,1IN,PC,34N,80P,SG</t>
  </si>
  <si>
    <t>FLX35-358-2</t>
  </si>
  <si>
    <t>SPK,1IN,PC,35N,80P,SG</t>
  </si>
  <si>
    <t>FLX34-338-2</t>
  </si>
  <si>
    <t>SPK,1IN,FC,33N,80P,SG</t>
  </si>
  <si>
    <t>FLX34-348-2</t>
  </si>
  <si>
    <t>SPK,1IN,FC,34N,80P,SG</t>
  </si>
  <si>
    <t>HEADS</t>
  </si>
  <si>
    <t>SWING JOINTS &amp; SERVICE FITTINGS</t>
  </si>
  <si>
    <t>LASCO 1-1/2" ACME INLET x 1-1/4" (12") BODY x 1" ACME TRIPLE-TOP OUTLET SJ</t>
  </si>
  <si>
    <t>AFAS150-020</t>
  </si>
  <si>
    <t>2" X 1-1/2" AQUAFUSE SERVICE SADDLE</t>
  </si>
  <si>
    <t>2" cap</t>
  </si>
  <si>
    <t>QUICK COUPLING VALVES</t>
  </si>
  <si>
    <t>474-44</t>
  </si>
  <si>
    <t>QCV 1, LAV VYL CVR W/LK, ACME</t>
  </si>
  <si>
    <t>AF1AS-212</t>
  </si>
  <si>
    <t>LASCO 1-1/2" AF INLET x 1" (12") BODY x 1" ACME STANDARD TOP OUTLET SJ</t>
  </si>
  <si>
    <t>TVB-6RND-G</t>
  </si>
  <si>
    <t>BOX,TORO VLV,6X9 ROUND,GREEN</t>
  </si>
  <si>
    <t>1' SCH.40 PVC PIPE</t>
  </si>
  <si>
    <t>BRICKS</t>
  </si>
  <si>
    <t>QCV KEY &amp; SWIVEL</t>
  </si>
  <si>
    <t>474-100</t>
  </si>
  <si>
    <t>464-03</t>
  </si>
  <si>
    <t>SVL HOSE ADP, 1"NPT X .75"MHT</t>
  </si>
  <si>
    <t>LARGE TURF ACCESSORIES</t>
  </si>
  <si>
    <t>1.25" Golf Body -Tools &amp; Acc.</t>
  </si>
  <si>
    <t>995-15</t>
  </si>
  <si>
    <t>TOOL, ADJUSTABLE</t>
  </si>
  <si>
    <t>995-83</t>
  </si>
  <si>
    <t>UTILITY TOOL</t>
  </si>
  <si>
    <t>995-100</t>
  </si>
  <si>
    <t>PLIER, SNAP-RING, W/SCREEN REMOVER</t>
  </si>
  <si>
    <t>995-76</t>
  </si>
  <si>
    <t>VALVE INSTL TOOL</t>
  </si>
  <si>
    <t>DR11 PE4710 HDPE PIPE</t>
  </si>
  <si>
    <t xml:space="preserve"> S0200DR110P47BBXX2000</t>
  </si>
  <si>
    <t xml:space="preserve"> HDPE PIPE IPS 2 X 2000' DR11 4710 WATER NO STRIPE</t>
  </si>
  <si>
    <t xml:space="preserve"> S0400DR110P47BBXX0050</t>
  </si>
  <si>
    <t xml:space="preserve"> HDPE PIPE IPS 4 X 50' DR11 4710 WATER NO STRIPE</t>
  </si>
  <si>
    <t xml:space="preserve"> S0600DR110P47BBXX0050</t>
  </si>
  <si>
    <t xml:space="preserve"> HDPE PIPE IPS 6 X 50' DR11 4710 WATER NO STRIPE</t>
  </si>
  <si>
    <t xml:space="preserve"> S0800DR110P47BBXX0050</t>
  </si>
  <si>
    <t xml:space="preserve"> HDPE PIPE IPS 8 X 50' DR11 4710 WATER NO STRIPE</t>
  </si>
  <si>
    <t xml:space="preserve"> S1000DR110P47BBXX0050</t>
  </si>
  <si>
    <t xml:space="preserve"> HDPE PIPE IPS 10 X 50' DR11 4710 WATER NO STRIPE</t>
  </si>
  <si>
    <t xml:space="preserve"> S1200DR110P47BBXX0050</t>
  </si>
  <si>
    <t xml:space="preserve"> HDPE PIPE IPS 12 X 50' DR11 4710 WATER NO STRIPE</t>
  </si>
  <si>
    <t xml:space="preserve"> S1600DR110P47BBXX0050</t>
  </si>
  <si>
    <t xml:space="preserve"> HDPE PIPE IPS 16 X 50' DR11 4710 WATER NO STRIPE</t>
  </si>
  <si>
    <t>PIPE</t>
  </si>
  <si>
    <t>DI IPS GATE VALVE w/ DR11 PE ENDS &amp; OP-NUT</t>
  </si>
  <si>
    <t>4" IPS DI GATE VALVE w/ DR11 PE ENDS &amp; OP-NUT</t>
  </si>
  <si>
    <t>6" IPS DI GATE VALVE w/ DR11 PE ENDS &amp; OP-NUT</t>
  </si>
  <si>
    <t>8" IPS DI GATE VALVE w/ DR11 PE ENDS &amp; OP-NUT</t>
  </si>
  <si>
    <t>12" IPS DI GATE VALVE w/ DR11 PE ENDS &amp; OP-NUT</t>
  </si>
  <si>
    <t>TVB-10RND-G</t>
  </si>
  <si>
    <t>BOX,TORO VLV,10X10 ROUND,GREEN</t>
  </si>
  <si>
    <t>8" ADS N-12 CORRUGATED PIPE (SLEEVE)</t>
  </si>
  <si>
    <t>3/4" CRUSHED GRAVEL SUMP (2 cu.ft.)</t>
  </si>
  <si>
    <t>LATERAL ISOLATION VALVES</t>
  </si>
  <si>
    <t>AFBV-200Y-MFN0-360</t>
  </si>
  <si>
    <t>2" AQUAFUSE CONTROLFLO 360 BALL VALVE, DR11 PE4710 FULL PORT</t>
  </si>
  <si>
    <t>2" 90-ELL, S/F DR11 4710</t>
  </si>
  <si>
    <t>2" COUPLING, S/F DR11 4710</t>
  </si>
  <si>
    <t>4" X 2" SIDEWALL BRANCH SADDLE, B/F DR11</t>
  </si>
  <si>
    <t>6" X 2" SIDEWALL BRANCH SADDLE, B/F DR11</t>
  </si>
  <si>
    <t>8" X 2" SIDEWALL BRANCH SADDLE, B/F DR11</t>
  </si>
  <si>
    <t>12" X 2" SIDEWALL BRANCH SADDLE, B/F DR11</t>
  </si>
  <si>
    <t>CHRISTY #IC.MAX.P2.RC006 RECLAIMED WATER TAG</t>
  </si>
  <si>
    <t>6" ADS N-12 CORRUGATED PIPE (SLEEVE)</t>
  </si>
  <si>
    <t>PRESSURE REGULATING VALVE (6" w/ 2" BY-PASS)</t>
  </si>
  <si>
    <t>CONCRETE VAULT</t>
  </si>
  <si>
    <t>6" CLA-VAL #694G-25BCSYKCX D/S CL150FL</t>
  </si>
  <si>
    <t>2" CLA-VAL #694G-25BCSYKCX D/S CL150FL</t>
  </si>
  <si>
    <t>8" X 6" DI REDUCER (FLG. x FLG.)</t>
  </si>
  <si>
    <t>8" X 2" DI REDUCING TEE (FLG. x FLG.)</t>
  </si>
  <si>
    <t>6" CLOW DI RW GATE VALVE w/ OP-NUT (FLG. X FLG.)</t>
  </si>
  <si>
    <t>2" NIBCO T-113 IRR-BHW GATE VALVE</t>
  </si>
  <si>
    <t>6" X 60" DI FLANGED SPOOL</t>
  </si>
  <si>
    <t>6" X 36" DI FLANGED SPOOL</t>
  </si>
  <si>
    <t>2" DI THREADED ADAPTER, (FLG. X FNPT)</t>
  </si>
  <si>
    <t>2" X 4" DI NIPPLE, TBE</t>
  </si>
  <si>
    <t>2" DI 90-ELL, TBE FNPT</t>
  </si>
  <si>
    <t>2" X 24" DI NIPPLE, TBE</t>
  </si>
  <si>
    <t>2" X 3" DI NIPPLE, TBE (4 per)</t>
  </si>
  <si>
    <t>2" DI UNION, THREADED</t>
  </si>
  <si>
    <t>8" HDPE X FLANGE ADAPTER</t>
  </si>
  <si>
    <t>8" BACKUP RING</t>
  </si>
  <si>
    <t>8" FLANGE NBG KIT</t>
  </si>
  <si>
    <t>312BC</t>
  </si>
  <si>
    <t>NDS 10" ROUND VALVE BOX w/ LID, GREEN</t>
  </si>
  <si>
    <t>AIR RELIEF VALVES</t>
  </si>
  <si>
    <t>PL10A</t>
  </si>
  <si>
    <t>2" CRISPIN PL10A AIR/VACUUM RELEASE VALVE</t>
  </si>
  <si>
    <t>AFBV-200Y-MFNO-000</t>
  </si>
  <si>
    <t>AQUAFUSE 2" PE X PE 1/4 TURN FULL PORT BALL VALVE</t>
  </si>
  <si>
    <t>2" TRANSITION FITTING HDPE DR11 x 304SS MNPT</t>
  </si>
  <si>
    <t>4" X 2" BRANCH SADDLE, DR11 BF PE4710 ROUND BASE</t>
  </si>
  <si>
    <t>6" X 2" BRANCH SADDLE, DR11 BF PE4710 ROUND BASE</t>
  </si>
  <si>
    <t>8" X 2" BRANCH SADDLE, DR11 BF PE4710 ROUND BASE</t>
  </si>
  <si>
    <t xml:space="preserve">TVB-1521-6-G </t>
  </si>
  <si>
    <t>OX,TORO VLV,15X21X6 RECT,GREEN</t>
  </si>
  <si>
    <t>TVB-1521EXT6BOX-G</t>
  </si>
  <si>
    <t>OX,TORO VLV, 15X21X6EXT, GREEN</t>
  </si>
  <si>
    <t>DRAIN VALVES</t>
  </si>
  <si>
    <t>2" IPS DI GATE VALVE w/ DR11 PE ENDS &amp; OP-NUT</t>
  </si>
  <si>
    <t>2" DR11 HDPE SOCKET FUSION ELBOW</t>
  </si>
  <si>
    <t>NDS JUMBO RECTENGULAR VALVE BOX w/ NO LOCK LID, GREEN</t>
  </si>
  <si>
    <t>40F</t>
  </si>
  <si>
    <t>2" ELECTRIC CONTROL VALVE</t>
  </si>
  <si>
    <t>P220G-27-08</t>
  </si>
  <si>
    <t>P220G 2" VALVE</t>
  </si>
  <si>
    <t>LYNX SMART MODULE</t>
  </si>
  <si>
    <t>2" X 2" TRANSITION FITTING HDPE DR11 x BRASS MNPT</t>
  </si>
  <si>
    <t>T-585</t>
  </si>
  <si>
    <t>2" NIBCO BRASS BALL VALVE w/ SS HANDLE</t>
  </si>
  <si>
    <t xml:space="preserve">TVB-1217-12-G </t>
  </si>
  <si>
    <t>BOX,TORO VLV,12X17X12 RECT,GREEN</t>
  </si>
  <si>
    <t>1.5" ELECTRIC CONTROL VALVE</t>
  </si>
  <si>
    <t>P220G-27-06</t>
  </si>
  <si>
    <t>VALVE, P220G 1.5"</t>
  </si>
  <si>
    <t>AF1AS-218</t>
  </si>
  <si>
    <t>1-1/2" AF INLET x 1" (12") BODY x 1" ACME STANDARD TOP OUTLET SJ</t>
  </si>
  <si>
    <t>1" NIBCO BRASS BALL VALVE w/ SS HANDLE</t>
  </si>
  <si>
    <t>2" X 1" TRANSITION FITTING HDPE DR11 x BRASS MNPT</t>
  </si>
  <si>
    <t>1" X 3" BRASS NIPPLE</t>
  </si>
  <si>
    <t>2"</t>
  </si>
  <si>
    <t>DR11 PE4710 HDPE FITTINGS, BUTT FUSION</t>
  </si>
  <si>
    <t>2 TEE</t>
  </si>
  <si>
    <t>2 90-ELL</t>
  </si>
  <si>
    <t>6"</t>
  </si>
  <si>
    <t>6 X 4 REDUCER</t>
  </si>
  <si>
    <t>8"</t>
  </si>
  <si>
    <t>8 TEE</t>
  </si>
  <si>
    <t>8 90-ELL</t>
  </si>
  <si>
    <t>8 45-ELL</t>
  </si>
  <si>
    <t>8 X 6 REDUCER</t>
  </si>
  <si>
    <t>10"</t>
  </si>
  <si>
    <t>10 TEE</t>
  </si>
  <si>
    <t>10 X 8 REDUCER</t>
  </si>
  <si>
    <t>12"</t>
  </si>
  <si>
    <t>12 TEE</t>
  </si>
  <si>
    <t>12 X 10 REDUCER</t>
  </si>
  <si>
    <t>12 X 6 REDUCER</t>
  </si>
  <si>
    <t>14"</t>
  </si>
  <si>
    <t>14 X 10 REDUCER</t>
  </si>
  <si>
    <t>14 X 12 REDUCER</t>
  </si>
  <si>
    <t>14 TEE</t>
  </si>
  <si>
    <t>16"</t>
  </si>
  <si>
    <t>16 TEE</t>
  </si>
  <si>
    <t>16 90-ELL</t>
  </si>
  <si>
    <t>16 X 14 REDUCER</t>
  </si>
  <si>
    <t>CENTRAL CONTROL, SMART HUBS &amp; WS GROUNDING</t>
  </si>
  <si>
    <t>MIGPLATE96</t>
  </si>
  <si>
    <t xml:space="preserve">GROUNDING PLATE 4" X 96" </t>
  </si>
  <si>
    <t>TVB-1521-12</t>
  </si>
  <si>
    <t>TORO JUMBO RECTENGULAR VALVE BOX w/ LID, purple</t>
  </si>
  <si>
    <t>SYSTEM GROUNDING</t>
  </si>
  <si>
    <t>DEC-SG</t>
  </si>
  <si>
    <t>TORO DEC-SG SURGE PROTECTOR</t>
  </si>
  <si>
    <t>GRPL4X96</t>
  </si>
  <si>
    <t>COPPER GROUND PLATE 4X96 W/25' 6 INS GRD</t>
  </si>
  <si>
    <t>GR588</t>
  </si>
  <si>
    <t>5/8 X 8 CU GROUND ROD</t>
  </si>
  <si>
    <t>CGT1161G-PLUS</t>
  </si>
  <si>
    <t>CADWELD GT1161G - PLUS</t>
  </si>
  <si>
    <t>POWERSET50</t>
  </si>
  <si>
    <t>POWERSET - 50 LB. BAG</t>
  </si>
  <si>
    <t>TVB-1217-12-G</t>
  </si>
  <si>
    <t>WIRE ACC</t>
  </si>
  <si>
    <t>3M 3570 G-N</t>
  </si>
  <si>
    <t>ELECTRICAL TAPE</t>
  </si>
  <si>
    <t>NDS 10" ROUND VALVE BOX w/ LID &amp; COVER BOLT, GRAY</t>
  </si>
  <si>
    <t>PAIGE WIRE TAGS</t>
  </si>
  <si>
    <t>MISCELLANEOUS</t>
  </si>
  <si>
    <t>99% ISOPROPYL ALCOHOL 5 GAL. BOTTLE</t>
  </si>
  <si>
    <t>MARKING PAINT, orange</t>
  </si>
  <si>
    <t>DUCT TAPE</t>
  </si>
  <si>
    <t>FLAGS, white</t>
  </si>
  <si>
    <t>FLAGS, pink</t>
  </si>
  <si>
    <t>FLAGS, yellow</t>
  </si>
  <si>
    <t>FLAGS, blue</t>
  </si>
  <si>
    <t>FLAGS, orange</t>
  </si>
  <si>
    <t>4' GATE VALVE KEYS</t>
  </si>
  <si>
    <t>4' LATERAL ISOLATION VALVE KEYS</t>
  </si>
  <si>
    <t>FILTER FABRIC</t>
  </si>
  <si>
    <t>REGENCY MAXI WIRE</t>
  </si>
  <si>
    <t>14-2 R7072D MAXI WIRE, HOT PINK</t>
  </si>
  <si>
    <t>SMART HUB TRUNK LINES</t>
  </si>
  <si>
    <t>12-2 R7072D MAXI WIRE, RED</t>
  </si>
  <si>
    <t>12-2 R7072D MAXI WIRE, BLUE</t>
  </si>
  <si>
    <t>scott oshiro</t>
  </si>
  <si>
    <t>808 960 1684</t>
  </si>
  <si>
    <t>tammi</t>
  </si>
  <si>
    <t xml:space="preserve">casey </t>
  </si>
  <si>
    <t>unit price</t>
  </si>
  <si>
    <t>Order from Rocky Mountain Reagants</t>
  </si>
  <si>
    <t>RECV'D</t>
  </si>
  <si>
    <t>Short 36</t>
  </si>
  <si>
    <t>218 missing</t>
  </si>
  <si>
    <t>missing 1</t>
  </si>
  <si>
    <t>12-2 R7072D MAXI WIRE, GREEN</t>
  </si>
  <si>
    <t>Purchased on site</t>
  </si>
  <si>
    <t>Invoice Recv'd/Cleared</t>
  </si>
  <si>
    <t>billed $96.53</t>
  </si>
  <si>
    <t>billed 2</t>
  </si>
  <si>
    <t>billed $193.06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</si>
</sst>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\ \ "/>
    <numFmt numFmtId="165" formatCode="[$-409]mmmm\ d\,\ yyyy;@"/>
    <numFmt numFmtId="166" formatCode="#,##0\ \ \ \ "/>
    <numFmt numFmtId="167" formatCode="#,##0\ \ \ "/>
    <numFmt numFmtId="168" formatCode="&quot;$&quot;#,##0.0000_);\(&quot;$&quot;#,##0.0000\)"/>
    <numFmt numFmtId="169" formatCode="#,##0.0000\ \ \ "/>
    <numFmt numFmtId="170" formatCode="#,##0.000\ \ \ "/>
  </numFmts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8"/>
      <color indexed="8"/>
      <name val="Arial"/>
      <family val="2"/>
    </font>
    <font>
      <b/>
      <sz val="8"/>
      <color theme="0"/>
      <name val="Arial"/>
      <family val="2"/>
    </font>
    <font>
      <b/>
      <sz val="8"/>
      <name val="Garamond"/>
      <family val="1"/>
    </font>
    <font>
      <b/>
      <sz val="8"/>
      <color theme="7"/>
      <name val="Garamond"/>
      <family val="1"/>
    </font>
    <font>
      <sz val="8"/>
      <color rgb="FFFF0000"/>
      <name val="Arial"/>
      <family val="2"/>
    </font>
    <font>
      <b/>
      <sz val="8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114">
    <xf numFmtId="0" fontId="0" fillId="0" borderId="0" xfId="0"/>
    <xf numFmtId="164" fontId="4" fillId="0" borderId="0" xfId="2" applyNumberFormat="1" applyFont="1" applyFill="1" applyBorder="1" applyAlignment="1">
      <alignment horizontal="right" vertical="center"/>
    </xf>
    <xf numFmtId="164" fontId="4" fillId="0" borderId="0" xfId="2" applyNumberFormat="1" applyFont="1" applyFill="1" applyAlignment="1">
      <alignment horizontal="right" vertical="center"/>
    </xf>
    <xf numFmtId="44" fontId="6" fillId="0" borderId="0" xfId="2" applyFont="1" applyFill="1" applyAlignment="1" applyProtection="1">
      <alignment horizontal="center" vertical="center" wrapText="1"/>
      <protection locked="0"/>
    </xf>
    <xf numFmtId="43" fontId="4" fillId="0" borderId="0" xfId="1" applyFont="1" applyFill="1" applyAlignment="1">
      <alignment vertical="center"/>
    </xf>
    <xf numFmtId="44" fontId="6" fillId="0" borderId="0" xfId="2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166" fontId="5" fillId="0" borderId="0" xfId="0" applyNumberFormat="1" applyFont="1" applyAlignment="1" applyProtection="1">
      <alignment horizontal="center" vertical="center" wrapText="1"/>
      <protection locked="0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 applyAlignment="1" applyProtection="1">
      <alignment horizontal="left" vertical="center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7" fontId="3" fillId="0" borderId="0" xfId="3" applyNumberFormat="1" applyFont="1" applyAlignment="1" applyProtection="1">
      <alignment vertical="top"/>
      <protection locked="0"/>
    </xf>
    <xf numFmtId="164" fontId="4" fillId="0" borderId="0" xfId="0" applyNumberFormat="1" applyFont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4" applyFont="1" applyAlignment="1">
      <alignment vertical="center"/>
    </xf>
    <xf numFmtId="0" fontId="9" fillId="0" borderId="0" xfId="0" applyFont="1" applyAlignment="1">
      <alignment vertical="center"/>
    </xf>
    <xf numFmtId="166" fontId="8" fillId="0" borderId="0" xfId="4" applyNumberFormat="1" applyFont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 applyProtection="1">
      <alignment horizontal="center" vertical="center" wrapText="1"/>
      <protection locked="0"/>
    </xf>
    <xf numFmtId="12" fontId="3" fillId="0" borderId="0" xfId="0" applyNumberFormat="1" applyFont="1" applyAlignment="1" applyProtection="1">
      <alignment vertical="center"/>
      <protection locked="0"/>
    </xf>
    <xf numFmtId="167" fontId="3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4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horizontal="center" vertical="center" wrapText="1"/>
      <protection locked="0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6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164" fontId="4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 applyProtection="1">
      <alignment horizontal="center" vertical="center" wrapText="1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166" fontId="6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6" applyFont="1" applyAlignment="1" applyProtection="1">
      <alignment vertical="center"/>
      <protection locked="0"/>
    </xf>
    <xf numFmtId="166" fontId="3" fillId="0" borderId="0" xfId="0" applyNumberFormat="1" applyFont="1" applyAlignment="1" applyProtection="1">
      <alignment vertical="center"/>
      <protection locked="0"/>
    </xf>
    <xf numFmtId="169" fontId="4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0" fontId="3" fillId="0" borderId="0" xfId="0" applyFont="1" applyProtection="1"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164" fontId="3" fillId="0" borderId="0" xfId="0" applyNumberFormat="1" applyFont="1"/>
    <xf numFmtId="0" fontId="3" fillId="0" borderId="0" xfId="0" applyFont="1"/>
    <xf numFmtId="0" fontId="12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/>
    </xf>
    <xf numFmtId="165" fontId="10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6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0" applyFont="1" applyAlignment="1">
      <alignment vertical="center"/>
    </xf>
    <xf numFmtId="0" fontId="5" fillId="0" borderId="0" xfId="0" applyFont="1" applyAlignment="1" applyProtection="1">
      <alignment horizontal="fill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fill" vertical="center"/>
    </xf>
    <xf numFmtId="49" fontId="3" fillId="0" borderId="0" xfId="3" applyNumberFormat="1" applyFont="1" applyAlignment="1" applyProtection="1">
      <alignment horizontal="left" vertical="top" wrapText="1"/>
      <protection locked="0"/>
    </xf>
    <xf numFmtId="49" fontId="3" fillId="0" borderId="0" xfId="5" applyNumberFormat="1" applyFont="1" applyFill="1" applyBorder="1" applyAlignment="1" applyProtection="1">
      <alignment vertical="top" wrapText="1"/>
      <protection locked="0"/>
    </xf>
    <xf numFmtId="166" fontId="10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fill" vertical="center"/>
    </xf>
    <xf numFmtId="168" fontId="3" fillId="0" borderId="0" xfId="3" applyNumberFormat="1" applyFont="1" applyAlignment="1" applyProtection="1">
      <alignment vertical="top"/>
      <protection locked="0"/>
    </xf>
    <xf numFmtId="0" fontId="6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Protection="1">
      <protection locked="0"/>
    </xf>
    <xf numFmtId="0" fontId="6" fillId="2" borderId="0" xfId="0" applyFont="1" applyFill="1"/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7" fontId="3" fillId="2" borderId="0" xfId="3" applyNumberFormat="1" applyFont="1" applyFill="1" applyAlignment="1" applyProtection="1">
      <alignment vertical="top"/>
      <protection locked="0"/>
    </xf>
    <xf numFmtId="166" fontId="8" fillId="2" borderId="0" xfId="0" applyNumberFormat="1" applyFont="1" applyFill="1" applyAlignment="1" applyProtection="1">
      <alignment horizontal="center" vertical="center" wrapText="1"/>
      <protection locked="0"/>
    </xf>
    <xf numFmtId="16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6" fontId="8" fillId="3" borderId="0" xfId="0" applyNumberFormat="1" applyFont="1" applyFill="1" applyAlignment="1" applyProtection="1">
      <alignment horizontal="center" vertical="center" wrapText="1"/>
      <protection locked="0"/>
    </xf>
    <xf numFmtId="164" fontId="3" fillId="3" borderId="0" xfId="0" applyNumberFormat="1" applyFont="1" applyFill="1" applyAlignment="1">
      <alignment vertical="center"/>
    </xf>
    <xf numFmtId="12" fontId="3" fillId="3" borderId="0" xfId="0" applyNumberFormat="1" applyFont="1" applyFill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15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>
      <alignment vertical="center"/>
    </xf>
    <xf numFmtId="164" fontId="15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Alignment="1">
      <alignment vertical="center"/>
    </xf>
    <xf numFmtId="166" fontId="5" fillId="2" borderId="0" xfId="0" applyNumberFormat="1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vertical="center"/>
      <protection locked="0"/>
    </xf>
    <xf numFmtId="164" fontId="4" fillId="4" borderId="0" xfId="0" applyNumberFormat="1" applyFont="1" applyFill="1" applyAlignment="1">
      <alignment horizontal="right" vertical="center"/>
    </xf>
    <xf numFmtId="1" fontId="8" fillId="4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3" fillId="4" borderId="0" xfId="0" applyFont="1" applyFill="1" applyAlignment="1" applyProtection="1">
      <alignment horizontal="left" vertical="center"/>
      <protection locked="0"/>
    </xf>
    <xf numFmtId="166" fontId="8" fillId="4" borderId="0" xfId="0" applyNumberFormat="1" applyFont="1" applyFill="1" applyAlignment="1" applyProtection="1">
      <alignment horizontal="center" vertical="center" wrapText="1"/>
      <protection locked="0"/>
    </xf>
    <xf numFmtId="166" fontId="5" fillId="4" borderId="0" xfId="0" applyNumberFormat="1" applyFont="1" applyFill="1" applyAlignment="1">
      <alignment horizontal="center" vertical="center" wrapText="1"/>
    </xf>
    <xf numFmtId="12" fontId="3" fillId="4" borderId="0" xfId="0" applyNumberFormat="1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center" vertical="center" wrapText="1"/>
      <protection locked="0"/>
    </xf>
    <xf numFmtId="0" fontId="15" fillId="4" borderId="0" xfId="0" applyFont="1" applyFill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166" fontId="16" fillId="2" borderId="0" xfId="0" applyNumberFormat="1" applyFont="1" applyFill="1" applyAlignment="1" applyProtection="1">
      <alignment horizontal="center" vertical="center" wrapText="1"/>
      <protection locked="0"/>
    </xf>
    <xf numFmtId="164" fontId="10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</cellXfs>
  <cellStyles count="7">
    <cellStyle name="Comma" xfId="1" builtinId="3"/>
    <cellStyle name="Currency" xfId="2" builtinId="4"/>
    <cellStyle name="Currency 2 2" xfId="5" xr:uid="{9124C788-C6A8-431E-9DCC-62F26BD916C1}"/>
    <cellStyle name="Normal" xfId="0" builtinId="0"/>
    <cellStyle name="Normal 2 2" xfId="6" xr:uid="{197F2299-2FD5-4164-8356-F5B1AFE7B89A}"/>
    <cellStyle name="Normal 3" xfId="4" xr:uid="{67A3332C-10F1-4DEE-8FA3-B28251AFEE3C}"/>
    <cellStyle name="Normal_Quote Sheet" xfId="3" xr:uid="{6D2F3E1D-EC49-4B12-9FB0-B1A9A3DD1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40F4-6EF2-44B6-A3BD-E043E4C4CBF1}">
  <sheetPr>
    <tabColor rgb="FF339933"/>
  </sheetPr>
  <dimension ref="A1:J294"/>
  <sheetViews>
    <sheetView showZeros="0" tabSelected="1" topLeftCell="A146" zoomScaleNormal="100" workbookViewId="0">
      <selection activeCell="G179" sqref="G179"/>
    </sheetView>
  </sheetViews>
  <sheetFormatPr defaultColWidth="9.140625" defaultRowHeight="11.25" x14ac:dyDescent="0.2"/>
  <cols>
    <col min="1" max="1" width="27.140625" style="48" bestFit="1" customWidth="1"/>
    <col min="2" max="2" width="59.140625" style="48" customWidth="1"/>
    <col min="3" max="3" width="12.140625" style="11" bestFit="1" customWidth="1"/>
    <col min="4" max="4" width="14.42578125" style="49" bestFit="1" customWidth="1"/>
    <col min="5" max="5" width="10.7109375" style="50" customWidth="1"/>
    <col min="6" max="6" width="9.140625" style="51"/>
    <col min="7" max="7" width="11" style="76" bestFit="1" customWidth="1"/>
    <col min="8" max="16384" width="9.140625" style="51"/>
  </cols>
  <sheetData>
    <row r="1" spans="1:10" s="6" customFormat="1" ht="42" customHeight="1" x14ac:dyDescent="0.2">
      <c r="A1" s="52" t="s">
        <v>0</v>
      </c>
      <c r="B1" s="113" t="s">
        <v>1</v>
      </c>
      <c r="C1" s="113"/>
      <c r="D1" s="53"/>
      <c r="E1" s="54"/>
      <c r="G1" s="72"/>
    </row>
    <row r="2" spans="1:10" s="59" customFormat="1" ht="21.75" customHeight="1" x14ac:dyDescent="0.2">
      <c r="A2" s="55">
        <v>45925</v>
      </c>
      <c r="B2" s="56" t="str">
        <f>UPPER("description #")</f>
        <v>DESCRIPTION #</v>
      </c>
      <c r="C2" s="57" t="s">
        <v>221</v>
      </c>
      <c r="D2" s="58" t="s">
        <v>2</v>
      </c>
      <c r="E2" s="57" t="s">
        <v>3</v>
      </c>
      <c r="G2" s="73" t="s">
        <v>223</v>
      </c>
    </row>
    <row r="3" spans="1:10" s="6" customFormat="1" ht="4.5" customHeight="1" x14ac:dyDescent="0.2">
      <c r="A3" s="7"/>
      <c r="B3" s="7"/>
      <c r="C3" s="1"/>
      <c r="D3" s="8"/>
      <c r="E3" s="9"/>
      <c r="G3" s="72"/>
    </row>
    <row r="4" spans="1:10" s="6" customFormat="1" ht="22.5" customHeight="1" x14ac:dyDescent="0.2">
      <c r="A4" s="7"/>
      <c r="B4" s="10"/>
      <c r="C4" s="2"/>
      <c r="D4" s="8">
        <v>0</v>
      </c>
      <c r="E4" s="9"/>
      <c r="G4" s="72"/>
    </row>
    <row r="5" spans="1:10" s="6" customFormat="1" ht="14.25" customHeight="1" x14ac:dyDescent="0.2">
      <c r="A5" s="60" t="s">
        <v>4</v>
      </c>
      <c r="B5" s="60"/>
      <c r="C5" s="61"/>
      <c r="D5" s="62"/>
      <c r="E5" s="60"/>
      <c r="G5" s="72"/>
    </row>
    <row r="6" spans="1:10" s="6" customFormat="1" ht="14.25" customHeight="1" x14ac:dyDescent="0.2">
      <c r="A6" s="7"/>
      <c r="B6" s="10" t="s">
        <v>5</v>
      </c>
      <c r="C6" s="11"/>
      <c r="D6" s="3" t="e">
        <f>SUM(#REF!)</f>
        <v>#REF!</v>
      </c>
      <c r="E6" s="9"/>
      <c r="G6" s="72"/>
    </row>
    <row r="7" spans="1:10" s="6" customFormat="1" ht="14.25" customHeight="1" x14ac:dyDescent="0.2">
      <c r="A7" s="12" t="s">
        <v>6</v>
      </c>
      <c r="B7" s="6" t="s">
        <v>7</v>
      </c>
      <c r="C7" s="11" t="s">
        <v>8</v>
      </c>
      <c r="D7" s="13">
        <v>1</v>
      </c>
      <c r="E7" s="9"/>
      <c r="G7" s="72"/>
    </row>
    <row r="8" spans="1:10" s="6" customFormat="1" ht="14.25" customHeight="1" x14ac:dyDescent="0.2">
      <c r="A8" s="12" t="s">
        <v>9</v>
      </c>
      <c r="B8" s="6" t="s">
        <v>10</v>
      </c>
      <c r="C8" s="11">
        <v>4500</v>
      </c>
      <c r="D8" s="13">
        <v>1</v>
      </c>
      <c r="E8" s="9">
        <f t="shared" ref="E8:E12" si="0">SUM(C8*D8)</f>
        <v>4500</v>
      </c>
      <c r="G8" s="72"/>
    </row>
    <row r="9" spans="1:10" s="6" customFormat="1" ht="14.25" customHeight="1" x14ac:dyDescent="0.2">
      <c r="A9" s="12" t="s">
        <v>11</v>
      </c>
      <c r="B9" s="6" t="s">
        <v>12</v>
      </c>
      <c r="C9" s="11">
        <v>3144.38</v>
      </c>
      <c r="D9" s="13">
        <v>1</v>
      </c>
      <c r="E9" s="9">
        <f t="shared" si="0"/>
        <v>3144.38</v>
      </c>
      <c r="G9" s="72"/>
    </row>
    <row r="10" spans="1:10" s="6" customFormat="1" ht="14.25" customHeight="1" x14ac:dyDescent="0.2">
      <c r="A10" s="12" t="s">
        <v>13</v>
      </c>
      <c r="B10" s="6" t="s">
        <v>14</v>
      </c>
      <c r="C10" s="11"/>
      <c r="D10" s="13">
        <v>1</v>
      </c>
      <c r="E10" s="9">
        <f t="shared" si="0"/>
        <v>0</v>
      </c>
      <c r="G10" s="72"/>
    </row>
    <row r="11" spans="1:10" s="6" customFormat="1" ht="14.25" customHeight="1" x14ac:dyDescent="0.2">
      <c r="A11" s="12" t="s">
        <v>15</v>
      </c>
      <c r="B11" s="6" t="s">
        <v>16</v>
      </c>
      <c r="C11" s="11">
        <v>4299.99</v>
      </c>
      <c r="D11" s="13">
        <v>2</v>
      </c>
      <c r="E11" s="9">
        <f t="shared" si="0"/>
        <v>8599.98</v>
      </c>
      <c r="G11" s="72"/>
    </row>
    <row r="12" spans="1:10" s="82" customFormat="1" ht="14.25" customHeight="1" x14ac:dyDescent="0.2">
      <c r="A12" s="77" t="s">
        <v>17</v>
      </c>
      <c r="B12" s="78" t="s">
        <v>18</v>
      </c>
      <c r="C12" s="79">
        <v>3000</v>
      </c>
      <c r="D12" s="80">
        <v>1</v>
      </c>
      <c r="E12" s="81">
        <f t="shared" si="0"/>
        <v>3000</v>
      </c>
      <c r="G12" s="72"/>
    </row>
    <row r="13" spans="1:10" s="6" customFormat="1" ht="14.25" customHeight="1" x14ac:dyDescent="0.2">
      <c r="A13" s="7"/>
      <c r="B13" s="7"/>
      <c r="C13" s="11"/>
      <c r="D13" s="8"/>
      <c r="E13" s="9"/>
      <c r="G13" s="72"/>
    </row>
    <row r="14" spans="1:10" s="6" customFormat="1" ht="14.25" customHeight="1" x14ac:dyDescent="0.2">
      <c r="A14" s="7"/>
      <c r="B14" s="10" t="s">
        <v>19</v>
      </c>
      <c r="C14" s="11"/>
      <c r="D14" s="3"/>
      <c r="E14" s="9"/>
      <c r="G14" s="72"/>
    </row>
    <row r="15" spans="1:10" s="92" customFormat="1" ht="14.25" customHeight="1" x14ac:dyDescent="0.2">
      <c r="A15" s="91" t="s">
        <v>20</v>
      </c>
      <c r="B15" s="92" t="s">
        <v>21</v>
      </c>
      <c r="C15" s="93">
        <v>6947.78</v>
      </c>
      <c r="D15" s="109">
        <v>1</v>
      </c>
      <c r="E15" s="94">
        <f t="shared" ref="E15" si="1">SUM(C15*D15)</f>
        <v>6947.78</v>
      </c>
      <c r="G15" s="74"/>
      <c r="I15" s="100" t="s">
        <v>229</v>
      </c>
      <c r="J15" s="108"/>
    </row>
    <row r="16" spans="1:10" s="82" customFormat="1" ht="14.25" customHeight="1" x14ac:dyDescent="0.2">
      <c r="A16" s="78"/>
      <c r="B16" s="78"/>
      <c r="C16" s="111" t="s">
        <v>230</v>
      </c>
      <c r="D16" s="110" t="s">
        <v>231</v>
      </c>
      <c r="E16" s="112" t="s">
        <v>232</v>
      </c>
      <c r="G16" s="72"/>
    </row>
    <row r="17" spans="1:7" s="6" customFormat="1" ht="14.1" customHeight="1" x14ac:dyDescent="0.2">
      <c r="B17" s="7"/>
      <c r="C17" s="11"/>
      <c r="D17" s="11"/>
      <c r="E17" s="9"/>
      <c r="G17" s="72"/>
    </row>
    <row r="18" spans="1:7" s="6" customFormat="1" ht="14.25" hidden="1" customHeight="1" x14ac:dyDescent="0.2">
      <c r="A18" s="12"/>
      <c r="B18" s="7"/>
      <c r="C18" s="11"/>
      <c r="D18" s="13"/>
      <c r="E18" s="9">
        <f>SUM(C18*D18)</f>
        <v>0</v>
      </c>
      <c r="G18" s="72"/>
    </row>
    <row r="19" spans="1:7" s="6" customFormat="1" ht="14.25" hidden="1" customHeight="1" x14ac:dyDescent="0.2">
      <c r="A19" s="12"/>
      <c r="B19" s="7"/>
      <c r="C19" s="11"/>
      <c r="D19" s="13"/>
      <c r="E19" s="9">
        <f t="shared" ref="E19:E27" si="2">SUM(C19*D19)</f>
        <v>0</v>
      </c>
      <c r="G19" s="72"/>
    </row>
    <row r="20" spans="1:7" s="6" customFormat="1" ht="14.25" hidden="1" customHeight="1" x14ac:dyDescent="0.2">
      <c r="A20" s="12"/>
      <c r="B20" s="7"/>
      <c r="C20" s="11"/>
      <c r="D20" s="13"/>
      <c r="E20" s="9">
        <f t="shared" si="2"/>
        <v>0</v>
      </c>
      <c r="G20" s="72"/>
    </row>
    <row r="21" spans="1:7" s="6" customFormat="1" ht="14.25" hidden="1" customHeight="1" x14ac:dyDescent="0.2">
      <c r="A21" s="12"/>
      <c r="B21" s="7"/>
      <c r="C21" s="11"/>
      <c r="D21" s="13"/>
      <c r="E21" s="9">
        <f t="shared" si="2"/>
        <v>0</v>
      </c>
      <c r="G21" s="72"/>
    </row>
    <row r="22" spans="1:7" s="6" customFormat="1" ht="14.25" hidden="1" customHeight="1" x14ac:dyDescent="0.2">
      <c r="A22" s="12"/>
      <c r="B22" s="7"/>
      <c r="C22" s="11"/>
      <c r="D22" s="13"/>
      <c r="E22" s="9">
        <f t="shared" si="2"/>
        <v>0</v>
      </c>
      <c r="G22" s="72"/>
    </row>
    <row r="23" spans="1:7" s="6" customFormat="1" ht="14.25" hidden="1" customHeight="1" x14ac:dyDescent="0.2">
      <c r="A23" s="12"/>
      <c r="B23" s="7"/>
      <c r="C23" s="11"/>
      <c r="D23" s="13"/>
      <c r="E23" s="9">
        <f t="shared" si="2"/>
        <v>0</v>
      </c>
      <c r="G23" s="72"/>
    </row>
    <row r="24" spans="1:7" s="6" customFormat="1" ht="14.25" hidden="1" customHeight="1" x14ac:dyDescent="0.2">
      <c r="A24" s="12"/>
      <c r="B24" s="7"/>
      <c r="C24" s="11"/>
      <c r="D24" s="13"/>
      <c r="E24" s="9">
        <f t="shared" si="2"/>
        <v>0</v>
      </c>
      <c r="G24" s="72"/>
    </row>
    <row r="25" spans="1:7" s="6" customFormat="1" ht="14.25" hidden="1" customHeight="1" x14ac:dyDescent="0.2">
      <c r="B25" s="7"/>
      <c r="C25" s="11"/>
      <c r="D25" s="8"/>
      <c r="E25" s="9">
        <f t="shared" si="2"/>
        <v>0</v>
      </c>
      <c r="G25" s="72"/>
    </row>
    <row r="26" spans="1:7" s="6" customFormat="1" ht="14.25" hidden="1" customHeight="1" x14ac:dyDescent="0.2">
      <c r="A26" s="7"/>
      <c r="B26" s="10"/>
      <c r="C26" s="11"/>
      <c r="D26" s="3"/>
      <c r="E26" s="9">
        <f t="shared" si="2"/>
        <v>0</v>
      </c>
      <c r="G26" s="72"/>
    </row>
    <row r="27" spans="1:7" s="6" customFormat="1" ht="14.25" hidden="1" customHeight="1" x14ac:dyDescent="0.2">
      <c r="A27" s="7"/>
      <c r="B27" s="7"/>
      <c r="C27" s="15"/>
      <c r="D27" s="13"/>
      <c r="E27" s="9">
        <f t="shared" si="2"/>
        <v>0</v>
      </c>
      <c r="G27" s="72"/>
    </row>
    <row r="28" spans="1:7" s="6" customFormat="1" ht="14.25" hidden="1" customHeight="1" x14ac:dyDescent="0.2">
      <c r="A28" s="7"/>
      <c r="B28" s="7"/>
      <c r="C28" s="9"/>
      <c r="D28" s="8"/>
      <c r="E28" s="9">
        <f t="shared" ref="E28" si="3">SUM(C28*D28)</f>
        <v>0</v>
      </c>
      <c r="G28" s="72"/>
    </row>
    <row r="29" spans="1:7" s="6" customFormat="1" ht="14.25" hidden="1" customHeight="1" x14ac:dyDescent="0.2">
      <c r="B29" s="7"/>
      <c r="C29" s="11"/>
      <c r="D29" s="8"/>
      <c r="E29" s="9">
        <f>SUM(C29*D29)</f>
        <v>0</v>
      </c>
      <c r="G29" s="72"/>
    </row>
    <row r="30" spans="1:7" s="6" customFormat="1" ht="14.25" hidden="1" customHeight="1" x14ac:dyDescent="0.2">
      <c r="A30" s="16"/>
      <c r="B30" s="10"/>
      <c r="C30" s="4"/>
      <c r="D30" s="3"/>
      <c r="E30" s="9">
        <f t="shared" ref="E30:E32" si="4">SUM(C30*D30)</f>
        <v>0</v>
      </c>
      <c r="G30" s="72"/>
    </row>
    <row r="31" spans="1:7" s="6" customFormat="1" ht="14.25" hidden="1" customHeight="1" x14ac:dyDescent="0.2">
      <c r="A31" s="17"/>
      <c r="B31" s="18"/>
      <c r="C31" s="15"/>
      <c r="D31" s="19"/>
      <c r="E31" s="9">
        <f t="shared" si="4"/>
        <v>0</v>
      </c>
      <c r="G31" s="72"/>
    </row>
    <row r="32" spans="1:7" s="6" customFormat="1" ht="14.25" hidden="1" customHeight="1" x14ac:dyDescent="0.2">
      <c r="A32" s="7"/>
      <c r="B32" s="7"/>
      <c r="C32" s="15"/>
      <c r="D32" s="8"/>
      <c r="E32" s="9">
        <f t="shared" si="4"/>
        <v>0</v>
      </c>
      <c r="G32" s="72"/>
    </row>
    <row r="33" spans="1:9" s="6" customFormat="1" ht="14.25" hidden="1" customHeight="1" x14ac:dyDescent="0.2">
      <c r="B33" s="7"/>
      <c r="C33" s="11"/>
      <c r="D33" s="8"/>
      <c r="E33" s="9"/>
      <c r="G33" s="72"/>
    </row>
    <row r="34" spans="1:9" s="6" customFormat="1" ht="14.25" customHeight="1" x14ac:dyDescent="0.2">
      <c r="A34" s="60" t="s">
        <v>4</v>
      </c>
      <c r="B34" s="60"/>
      <c r="C34" s="61"/>
      <c r="D34" s="3"/>
      <c r="E34" s="60"/>
      <c r="G34" s="72"/>
    </row>
    <row r="35" spans="1:9" s="6" customFormat="1" ht="14.25" customHeight="1" x14ac:dyDescent="0.2">
      <c r="A35" s="7"/>
      <c r="B35" s="10" t="s">
        <v>22</v>
      </c>
      <c r="C35" s="11"/>
      <c r="D35" s="3">
        <f>SUM(E36:E45)/Heads</f>
        <v>345.37003103180768</v>
      </c>
      <c r="E35" s="9">
        <f t="shared" ref="E35" si="5">SUM(C35*D35)</f>
        <v>0</v>
      </c>
      <c r="G35" s="72"/>
    </row>
    <row r="36" spans="1:9" s="100" customFormat="1" ht="14.25" customHeight="1" x14ac:dyDescent="0.2">
      <c r="A36" s="96" t="s">
        <v>23</v>
      </c>
      <c r="B36" s="96" t="s">
        <v>24</v>
      </c>
      <c r="C36" s="97">
        <v>260.48</v>
      </c>
      <c r="D36" s="98">
        <f>218-26</f>
        <v>192</v>
      </c>
      <c r="E36" s="99">
        <f t="shared" ref="E36:E39" si="6">SUM(C36*D36)</f>
        <v>50012.160000000003</v>
      </c>
      <c r="G36" s="101">
        <v>192</v>
      </c>
      <c r="I36" s="100" t="s">
        <v>229</v>
      </c>
    </row>
    <row r="37" spans="1:9" s="100" customFormat="1" ht="14.25" customHeight="1" x14ac:dyDescent="0.2">
      <c r="A37" s="96" t="s">
        <v>25</v>
      </c>
      <c r="B37" s="96" t="s">
        <v>26</v>
      </c>
      <c r="C37" s="97">
        <v>260.48</v>
      </c>
      <c r="D37" s="98">
        <v>288</v>
      </c>
      <c r="E37" s="99">
        <f t="shared" si="6"/>
        <v>75018.240000000005</v>
      </c>
      <c r="G37" s="102">
        <v>252</v>
      </c>
      <c r="H37" s="100" t="s">
        <v>224</v>
      </c>
      <c r="I37" s="100" t="s">
        <v>229</v>
      </c>
    </row>
    <row r="38" spans="1:9" s="100" customFormat="1" ht="14.25" customHeight="1" x14ac:dyDescent="0.2">
      <c r="A38" s="96" t="s">
        <v>27</v>
      </c>
      <c r="B38" s="96" t="s">
        <v>28</v>
      </c>
      <c r="C38" s="97">
        <v>244.58</v>
      </c>
      <c r="D38" s="98">
        <v>736</v>
      </c>
      <c r="E38" s="99">
        <f t="shared" si="6"/>
        <v>180010.88</v>
      </c>
      <c r="G38" s="101">
        <v>736</v>
      </c>
      <c r="I38" s="100" t="s">
        <v>229</v>
      </c>
    </row>
    <row r="39" spans="1:9" s="100" customFormat="1" ht="14.25" customHeight="1" thickBot="1" x14ac:dyDescent="0.25">
      <c r="A39" s="96" t="s">
        <v>29</v>
      </c>
      <c r="B39" s="96" t="s">
        <v>30</v>
      </c>
      <c r="C39" s="97">
        <v>244.58</v>
      </c>
      <c r="D39" s="98">
        <v>73</v>
      </c>
      <c r="E39" s="99">
        <f t="shared" si="6"/>
        <v>17854.34</v>
      </c>
      <c r="G39" s="101">
        <v>73</v>
      </c>
      <c r="I39" s="100" t="s">
        <v>229</v>
      </c>
    </row>
    <row r="40" spans="1:9" s="6" customFormat="1" ht="14.25" customHeight="1" thickBot="1" x14ac:dyDescent="0.25">
      <c r="A40" s="7"/>
      <c r="B40" s="7"/>
      <c r="C40" s="21" t="s">
        <v>31</v>
      </c>
      <c r="D40" s="22">
        <f>SUM(D36:D39)</f>
        <v>1289</v>
      </c>
      <c r="E40" s="9"/>
      <c r="G40" s="72"/>
    </row>
    <row r="41" spans="1:9" s="6" customFormat="1" ht="14.25" customHeight="1" x14ac:dyDescent="0.2">
      <c r="A41" s="7"/>
      <c r="B41" s="7"/>
      <c r="C41" s="11"/>
      <c r="D41" s="8">
        <v>0</v>
      </c>
      <c r="E41" s="9"/>
      <c r="G41" s="72"/>
    </row>
    <row r="42" spans="1:9" s="6" customFormat="1" ht="14.25" customHeight="1" x14ac:dyDescent="0.2">
      <c r="A42" s="7"/>
      <c r="B42" s="10" t="s">
        <v>32</v>
      </c>
      <c r="C42" s="23"/>
      <c r="D42" s="8"/>
      <c r="E42" s="9"/>
      <c r="G42" s="72"/>
    </row>
    <row r="43" spans="1:9" s="6" customFormat="1" ht="14.25" customHeight="1" x14ac:dyDescent="0.2">
      <c r="A43" s="7"/>
      <c r="B43" s="7" t="s">
        <v>33</v>
      </c>
      <c r="C43" s="14">
        <v>57.53</v>
      </c>
      <c r="D43" s="8">
        <v>1315</v>
      </c>
      <c r="E43" s="9">
        <f t="shared" ref="E43:E45" si="7">SUM(C43*D43)</f>
        <v>75651.95</v>
      </c>
      <c r="G43" s="72">
        <v>1097</v>
      </c>
      <c r="H43" s="6" t="s">
        <v>225</v>
      </c>
      <c r="I43" s="90"/>
    </row>
    <row r="44" spans="1:9" s="6" customFormat="1" ht="14.25" customHeight="1" x14ac:dyDescent="0.2">
      <c r="A44" s="12" t="s">
        <v>34</v>
      </c>
      <c r="B44" s="7" t="s">
        <v>35</v>
      </c>
      <c r="C44" s="14">
        <v>29.76</v>
      </c>
      <c r="D44" s="8">
        <v>1315</v>
      </c>
      <c r="E44" s="9">
        <f t="shared" si="7"/>
        <v>39134.400000000001</v>
      </c>
      <c r="G44" s="72">
        <v>1315</v>
      </c>
    </row>
    <row r="45" spans="1:9" s="6" customFormat="1" ht="14.25" customHeight="1" x14ac:dyDescent="0.2">
      <c r="A45" s="12"/>
      <c r="B45" s="7" t="s">
        <v>36</v>
      </c>
      <c r="C45" s="11">
        <v>15</v>
      </c>
      <c r="D45" s="8">
        <v>500</v>
      </c>
      <c r="E45" s="9">
        <f t="shared" si="7"/>
        <v>7500</v>
      </c>
      <c r="G45" s="72">
        <v>500</v>
      </c>
    </row>
    <row r="46" spans="1:9" s="6" customFormat="1" ht="14.25" customHeight="1" x14ac:dyDescent="0.2">
      <c r="A46" s="7"/>
      <c r="B46" s="7"/>
      <c r="C46" s="11"/>
      <c r="D46" s="8"/>
      <c r="E46" s="9"/>
      <c r="G46" s="72"/>
    </row>
    <row r="47" spans="1:9" s="6" customFormat="1" ht="14.25" customHeight="1" x14ac:dyDescent="0.2">
      <c r="A47" s="7"/>
      <c r="B47" s="10" t="s">
        <v>37</v>
      </c>
      <c r="C47" s="24"/>
      <c r="D47" s="3">
        <f>SUM(E48:E56)/D48</f>
        <v>173.37095238095239</v>
      </c>
      <c r="E47" s="9"/>
      <c r="G47" s="72"/>
    </row>
    <row r="48" spans="1:9" s="100" customFormat="1" ht="14.25" customHeight="1" x14ac:dyDescent="0.2">
      <c r="A48" s="103" t="s">
        <v>38</v>
      </c>
      <c r="B48" s="100" t="s">
        <v>39</v>
      </c>
      <c r="C48" s="97">
        <v>65.84</v>
      </c>
      <c r="D48" s="104">
        <v>42</v>
      </c>
      <c r="E48" s="99">
        <f t="shared" ref="E48" si="8">SUM(C48*D48)</f>
        <v>2765.28</v>
      </c>
      <c r="G48" s="101">
        <v>42</v>
      </c>
      <c r="I48" s="100" t="s">
        <v>229</v>
      </c>
    </row>
    <row r="49" spans="1:9" s="6" customFormat="1" ht="14.25" customHeight="1" x14ac:dyDescent="0.2">
      <c r="A49" s="12" t="s">
        <v>34</v>
      </c>
      <c r="B49" s="7" t="s">
        <v>35</v>
      </c>
      <c r="C49" s="14">
        <v>29.76</v>
      </c>
      <c r="D49" s="8">
        <f>SUM(D48:D48)</f>
        <v>42</v>
      </c>
      <c r="E49" s="9">
        <f t="shared" ref="E49:E52" si="9">SUM(C49*D49)</f>
        <v>1249.92</v>
      </c>
      <c r="G49" s="72">
        <v>42</v>
      </c>
    </row>
    <row r="50" spans="1:9" s="6" customFormat="1" ht="14.25" customHeight="1" x14ac:dyDescent="0.2">
      <c r="A50" s="7" t="s">
        <v>40</v>
      </c>
      <c r="B50" s="7" t="s">
        <v>41</v>
      </c>
      <c r="C50" s="14">
        <v>63.53</v>
      </c>
      <c r="D50" s="13">
        <f>D48</f>
        <v>42</v>
      </c>
      <c r="E50" s="9">
        <f t="shared" si="9"/>
        <v>2668.26</v>
      </c>
      <c r="G50" s="72">
        <v>42</v>
      </c>
    </row>
    <row r="51" spans="1:9" s="100" customFormat="1" ht="14.25" customHeight="1" x14ac:dyDescent="0.2">
      <c r="A51" s="103" t="s">
        <v>42</v>
      </c>
      <c r="B51" s="100" t="s">
        <v>43</v>
      </c>
      <c r="C51" s="97">
        <v>5.4</v>
      </c>
      <c r="D51" s="104">
        <f>D48</f>
        <v>42</v>
      </c>
      <c r="E51" s="99">
        <f t="shared" si="9"/>
        <v>226.8</v>
      </c>
      <c r="G51" s="101">
        <v>42</v>
      </c>
      <c r="I51" s="100" t="s">
        <v>229</v>
      </c>
    </row>
    <row r="52" spans="1:9" s="85" customFormat="1" ht="14.1" customHeight="1" x14ac:dyDescent="0.2">
      <c r="A52" s="84"/>
      <c r="B52" s="89" t="s">
        <v>44</v>
      </c>
      <c r="C52" s="86">
        <v>1</v>
      </c>
      <c r="D52" s="87">
        <f>D51*2</f>
        <v>84</v>
      </c>
      <c r="E52" s="88">
        <f t="shared" si="9"/>
        <v>84</v>
      </c>
      <c r="G52" s="72"/>
    </row>
    <row r="53" spans="1:9" s="6" customFormat="1" ht="14.25" customHeight="1" x14ac:dyDescent="0.2">
      <c r="A53" s="7"/>
      <c r="B53" s="7"/>
      <c r="C53" s="11"/>
      <c r="D53" s="8"/>
      <c r="E53" s="9"/>
      <c r="G53" s="72"/>
    </row>
    <row r="54" spans="1:9" s="6" customFormat="1" ht="14.25" customHeight="1" x14ac:dyDescent="0.2">
      <c r="A54" s="7"/>
      <c r="B54" s="10" t="s">
        <v>46</v>
      </c>
      <c r="C54" s="63"/>
      <c r="D54" s="64"/>
      <c r="E54" s="9"/>
      <c r="G54" s="72"/>
    </row>
    <row r="55" spans="1:9" s="100" customFormat="1" ht="14.25" customHeight="1" x14ac:dyDescent="0.2">
      <c r="A55" s="103" t="s">
        <v>47</v>
      </c>
      <c r="B55" s="100" t="s">
        <v>39</v>
      </c>
      <c r="C55" s="97">
        <v>42.53</v>
      </c>
      <c r="D55" s="104">
        <v>4</v>
      </c>
      <c r="E55" s="99">
        <f t="shared" ref="E55:E56" si="10">SUM(C55*D55)</f>
        <v>170.12</v>
      </c>
      <c r="G55" s="101">
        <v>4</v>
      </c>
      <c r="I55" s="100" t="s">
        <v>229</v>
      </c>
    </row>
    <row r="56" spans="1:9" s="100" customFormat="1" ht="14.25" customHeight="1" x14ac:dyDescent="0.2">
      <c r="A56" s="103" t="s">
        <v>48</v>
      </c>
      <c r="B56" s="100" t="s">
        <v>49</v>
      </c>
      <c r="C56" s="97">
        <v>29.3</v>
      </c>
      <c r="D56" s="104">
        <v>4</v>
      </c>
      <c r="E56" s="99">
        <f t="shared" si="10"/>
        <v>117.2</v>
      </c>
      <c r="G56" s="101">
        <v>4</v>
      </c>
      <c r="I56" s="100" t="s">
        <v>229</v>
      </c>
    </row>
    <row r="57" spans="1:9" s="6" customFormat="1" ht="14.25" customHeight="1" x14ac:dyDescent="0.2">
      <c r="A57" s="7"/>
      <c r="B57" s="7"/>
      <c r="C57" s="11"/>
      <c r="D57" s="8"/>
      <c r="E57" s="9"/>
      <c r="G57" s="72"/>
    </row>
    <row r="58" spans="1:9" s="6" customFormat="1" ht="14.25" customHeight="1" x14ac:dyDescent="0.2">
      <c r="A58" s="7"/>
      <c r="B58" s="10" t="s">
        <v>50</v>
      </c>
      <c r="C58" s="11"/>
      <c r="D58" s="8"/>
      <c r="E58" s="65"/>
      <c r="G58" s="72"/>
    </row>
    <row r="59" spans="1:9" s="6" customFormat="1" ht="14.25" customHeight="1" x14ac:dyDescent="0.2">
      <c r="A59" s="26"/>
      <c r="B59" s="10" t="s">
        <v>51</v>
      </c>
      <c r="C59" s="11"/>
      <c r="D59" s="8"/>
      <c r="E59" s="65"/>
      <c r="G59" s="72"/>
    </row>
    <row r="60" spans="1:9" s="100" customFormat="1" ht="14.25" customHeight="1" x14ac:dyDescent="0.2">
      <c r="A60" s="103" t="s">
        <v>52</v>
      </c>
      <c r="B60" s="100" t="s">
        <v>53</v>
      </c>
      <c r="C60" s="97">
        <v>7</v>
      </c>
      <c r="D60" s="104">
        <v>10</v>
      </c>
      <c r="E60" s="99">
        <f t="shared" ref="E60:E61" si="11">SUM(C60*D60)</f>
        <v>70</v>
      </c>
      <c r="G60" s="101">
        <v>10</v>
      </c>
      <c r="I60" s="100" t="s">
        <v>229</v>
      </c>
    </row>
    <row r="61" spans="1:9" s="100" customFormat="1" ht="14.25" customHeight="1" x14ac:dyDescent="0.2">
      <c r="A61" s="103" t="s">
        <v>54</v>
      </c>
      <c r="B61" s="100" t="s">
        <v>55</v>
      </c>
      <c r="C61" s="97">
        <v>35.68</v>
      </c>
      <c r="D61" s="104">
        <v>10</v>
      </c>
      <c r="E61" s="99">
        <f t="shared" si="11"/>
        <v>356.8</v>
      </c>
      <c r="G61" s="101">
        <v>10</v>
      </c>
      <c r="I61" s="100" t="s">
        <v>229</v>
      </c>
    </row>
    <row r="62" spans="1:9" s="100" customFormat="1" ht="14.25" customHeight="1" x14ac:dyDescent="0.2">
      <c r="A62" s="103" t="s">
        <v>56</v>
      </c>
      <c r="B62" s="100" t="s">
        <v>57</v>
      </c>
      <c r="C62" s="97">
        <v>128.41999999999999</v>
      </c>
      <c r="D62" s="104">
        <v>5</v>
      </c>
      <c r="E62" s="99">
        <f t="shared" ref="E62:E63" si="12">SUM(C62*D62)</f>
        <v>642.09999999999991</v>
      </c>
      <c r="G62" s="101">
        <v>5</v>
      </c>
      <c r="I62" s="100" t="s">
        <v>229</v>
      </c>
    </row>
    <row r="63" spans="1:9" s="100" customFormat="1" ht="14.25" customHeight="1" x14ac:dyDescent="0.2">
      <c r="A63" s="103" t="s">
        <v>58</v>
      </c>
      <c r="B63" s="100" t="s">
        <v>59</v>
      </c>
      <c r="C63" s="97">
        <v>199.69</v>
      </c>
      <c r="D63" s="104">
        <v>4</v>
      </c>
      <c r="E63" s="99">
        <f t="shared" si="12"/>
        <v>798.76</v>
      </c>
      <c r="G63" s="101">
        <v>4</v>
      </c>
      <c r="I63" s="100" t="s">
        <v>229</v>
      </c>
    </row>
    <row r="64" spans="1:9" s="6" customFormat="1" ht="14.25" customHeight="1" x14ac:dyDescent="0.2">
      <c r="A64" s="60" t="s">
        <v>4</v>
      </c>
      <c r="B64" s="60"/>
      <c r="C64" s="23"/>
      <c r="D64" s="62"/>
      <c r="E64" s="60"/>
      <c r="G64" s="72"/>
    </row>
    <row r="65" spans="1:7" s="6" customFormat="1" ht="14.25" customHeight="1" x14ac:dyDescent="0.2">
      <c r="A65" s="27"/>
      <c r="B65" s="10" t="s">
        <v>60</v>
      </c>
      <c r="C65" s="28"/>
      <c r="D65" s="5">
        <f>SUM(E66:E75)</f>
        <v>172753.5</v>
      </c>
      <c r="E65" s="9"/>
      <c r="G65" s="72"/>
    </row>
    <row r="66" spans="1:7" s="6" customFormat="1" ht="14.25" customHeight="1" x14ac:dyDescent="0.2">
      <c r="A66" s="66" t="s">
        <v>61</v>
      </c>
      <c r="B66" s="67" t="s">
        <v>62</v>
      </c>
      <c r="C66" s="14">
        <v>0.68</v>
      </c>
      <c r="D66" s="13">
        <v>90000</v>
      </c>
      <c r="E66" s="9">
        <f t="shared" ref="E66:E72" si="13">SUM(C66*D66)</f>
        <v>61200.000000000007</v>
      </c>
      <c r="G66" s="72"/>
    </row>
    <row r="67" spans="1:7" s="6" customFormat="1" ht="14.25" customHeight="1" x14ac:dyDescent="0.2">
      <c r="A67" s="66" t="s">
        <v>63</v>
      </c>
      <c r="B67" s="67" t="s">
        <v>64</v>
      </c>
      <c r="C67" s="14">
        <v>2.4500000000000002</v>
      </c>
      <c r="D67" s="13">
        <v>20000</v>
      </c>
      <c r="E67" s="9">
        <f t="shared" si="13"/>
        <v>49000</v>
      </c>
      <c r="G67" s="72">
        <v>20000</v>
      </c>
    </row>
    <row r="68" spans="1:7" s="6" customFormat="1" ht="14.25" customHeight="1" x14ac:dyDescent="0.2">
      <c r="A68" s="66" t="s">
        <v>65</v>
      </c>
      <c r="B68" s="67" t="s">
        <v>66</v>
      </c>
      <c r="C68" s="14">
        <v>5.3</v>
      </c>
      <c r="D68" s="13">
        <v>6000</v>
      </c>
      <c r="E68" s="9">
        <f t="shared" si="13"/>
        <v>31800</v>
      </c>
      <c r="G68" s="72">
        <v>6000</v>
      </c>
    </row>
    <row r="69" spans="1:7" s="6" customFormat="1" ht="14.25" customHeight="1" x14ac:dyDescent="0.2">
      <c r="A69" s="66" t="s">
        <v>67</v>
      </c>
      <c r="B69" s="67" t="s">
        <v>68</v>
      </c>
      <c r="C69" s="14">
        <v>8.99</v>
      </c>
      <c r="D69" s="13">
        <v>2300</v>
      </c>
      <c r="E69" s="9">
        <f t="shared" si="13"/>
        <v>20677</v>
      </c>
      <c r="G69" s="72">
        <v>2300</v>
      </c>
    </row>
    <row r="70" spans="1:7" s="6" customFormat="1" ht="14.25" customHeight="1" x14ac:dyDescent="0.2">
      <c r="A70" s="66" t="s">
        <v>69</v>
      </c>
      <c r="B70" s="67" t="s">
        <v>70</v>
      </c>
      <c r="C70" s="14">
        <v>13.96</v>
      </c>
      <c r="D70" s="13">
        <v>400</v>
      </c>
      <c r="E70" s="9">
        <f t="shared" si="13"/>
        <v>5584</v>
      </c>
      <c r="G70" s="72">
        <v>400</v>
      </c>
    </row>
    <row r="71" spans="1:7" s="6" customFormat="1" ht="14.25" customHeight="1" x14ac:dyDescent="0.2">
      <c r="A71" s="66" t="s">
        <v>71</v>
      </c>
      <c r="B71" s="67" t="s">
        <v>72</v>
      </c>
      <c r="C71" s="14">
        <v>19.64</v>
      </c>
      <c r="D71" s="13">
        <v>150</v>
      </c>
      <c r="E71" s="9">
        <f t="shared" si="13"/>
        <v>2946</v>
      </c>
      <c r="G71" s="72">
        <v>150</v>
      </c>
    </row>
    <row r="72" spans="1:7" s="6" customFormat="1" ht="14.25" customHeight="1" thickBot="1" x14ac:dyDescent="0.25">
      <c r="A72" s="66" t="s">
        <v>73</v>
      </c>
      <c r="B72" s="67" t="s">
        <v>74</v>
      </c>
      <c r="C72" s="14">
        <v>30.93</v>
      </c>
      <c r="D72" s="13">
        <v>50</v>
      </c>
      <c r="E72" s="9">
        <f t="shared" si="13"/>
        <v>1546.5</v>
      </c>
      <c r="G72" s="72">
        <v>50</v>
      </c>
    </row>
    <row r="73" spans="1:7" s="6" customFormat="1" ht="14.25" customHeight="1" thickBot="1" x14ac:dyDescent="0.25">
      <c r="A73" s="7"/>
      <c r="B73" s="7"/>
      <c r="C73" s="21" t="s">
        <v>75</v>
      </c>
      <c r="D73" s="22">
        <f>SUM(D66:D72)</f>
        <v>118900</v>
      </c>
      <c r="E73" s="9"/>
      <c r="G73" s="72"/>
    </row>
    <row r="74" spans="1:7" s="6" customFormat="1" ht="14.25" customHeight="1" x14ac:dyDescent="0.2">
      <c r="A74" s="7"/>
      <c r="B74" s="7"/>
      <c r="C74" s="11"/>
      <c r="D74" s="8">
        <v>0</v>
      </c>
      <c r="E74" s="9"/>
      <c r="G74" s="72"/>
    </row>
    <row r="75" spans="1:7" s="6" customFormat="1" ht="14.25" customHeight="1" x14ac:dyDescent="0.2">
      <c r="A75" s="7"/>
      <c r="B75" s="7"/>
      <c r="C75" s="11"/>
      <c r="D75" s="8">
        <v>0</v>
      </c>
      <c r="E75" s="9"/>
      <c r="G75" s="72"/>
    </row>
    <row r="76" spans="1:7" s="6" customFormat="1" ht="14.25" customHeight="1" x14ac:dyDescent="0.2">
      <c r="A76" s="29"/>
      <c r="B76" s="10" t="s">
        <v>76</v>
      </c>
      <c r="C76" s="11"/>
      <c r="D76" s="5">
        <f>SUM(E77:E82)</f>
        <v>37412.130000000005</v>
      </c>
      <c r="E76" s="9"/>
      <c r="G76" s="72"/>
    </row>
    <row r="77" spans="1:7" s="6" customFormat="1" ht="14.25" customHeight="1" x14ac:dyDescent="0.2">
      <c r="A77" s="30"/>
      <c r="B77" s="25" t="s">
        <v>77</v>
      </c>
      <c r="C77" s="14">
        <v>885.33</v>
      </c>
      <c r="D77" s="8">
        <v>17</v>
      </c>
      <c r="E77" s="9">
        <f t="shared" ref="E77:E82" si="14">SUM(C77*D77)</f>
        <v>15050.61</v>
      </c>
      <c r="G77" s="72">
        <v>17</v>
      </c>
    </row>
    <row r="78" spans="1:7" s="6" customFormat="1" ht="14.25" customHeight="1" x14ac:dyDescent="0.2">
      <c r="A78" s="30"/>
      <c r="B78" s="25" t="s">
        <v>78</v>
      </c>
      <c r="C78" s="14">
        <v>1324.56</v>
      </c>
      <c r="D78" s="8">
        <v>7</v>
      </c>
      <c r="E78" s="9">
        <f t="shared" si="14"/>
        <v>9271.92</v>
      </c>
      <c r="G78" s="72">
        <v>7</v>
      </c>
    </row>
    <row r="79" spans="1:7" s="6" customFormat="1" ht="14.25" customHeight="1" x14ac:dyDescent="0.2">
      <c r="A79" s="30"/>
      <c r="B79" s="25" t="s">
        <v>79</v>
      </c>
      <c r="C79" s="14">
        <v>2058.44</v>
      </c>
      <c r="D79" s="8">
        <v>4</v>
      </c>
      <c r="E79" s="9">
        <f t="shared" ref="E79:E80" si="15">SUM(C79*D79)</f>
        <v>8233.76</v>
      </c>
      <c r="G79" s="72">
        <v>4</v>
      </c>
    </row>
    <row r="80" spans="1:7" s="6" customFormat="1" ht="14.25" customHeight="1" x14ac:dyDescent="0.2">
      <c r="A80" s="30"/>
      <c r="B80" s="25" t="s">
        <v>80</v>
      </c>
      <c r="C80" s="14">
        <v>3707.44</v>
      </c>
      <c r="D80" s="8">
        <v>1</v>
      </c>
      <c r="E80" s="9">
        <f t="shared" si="15"/>
        <v>3707.44</v>
      </c>
      <c r="G80" s="72">
        <v>1</v>
      </c>
    </row>
    <row r="81" spans="1:7" s="82" customFormat="1" ht="14.25" customHeight="1" x14ac:dyDescent="0.2">
      <c r="A81" s="77" t="s">
        <v>81</v>
      </c>
      <c r="B81" s="82" t="s">
        <v>82</v>
      </c>
      <c r="C81" s="83">
        <v>21.6</v>
      </c>
      <c r="D81" s="95">
        <f>SUM(D77:D80)</f>
        <v>29</v>
      </c>
      <c r="E81" s="81">
        <f t="shared" si="14"/>
        <v>626.40000000000009</v>
      </c>
      <c r="G81" s="72">
        <v>29</v>
      </c>
    </row>
    <row r="82" spans="1:7" s="6" customFormat="1" ht="14.25" customHeight="1" x14ac:dyDescent="0.2">
      <c r="A82" s="7"/>
      <c r="B82" s="25" t="s">
        <v>83</v>
      </c>
      <c r="C82" s="11">
        <v>6</v>
      </c>
      <c r="D82" s="8">
        <f>D81*3</f>
        <v>87</v>
      </c>
      <c r="E82" s="9">
        <f t="shared" si="14"/>
        <v>522</v>
      </c>
      <c r="G82" s="72"/>
    </row>
    <row r="83" spans="1:7" s="6" customFormat="1" ht="14.25" customHeight="1" x14ac:dyDescent="0.2">
      <c r="A83" s="7"/>
      <c r="B83" s="25"/>
      <c r="C83" s="11"/>
      <c r="D83" s="8"/>
      <c r="E83" s="9"/>
      <c r="G83" s="72"/>
    </row>
    <row r="84" spans="1:7" s="6" customFormat="1" ht="14.25" customHeight="1" x14ac:dyDescent="0.2">
      <c r="A84" s="60" t="s">
        <v>4</v>
      </c>
      <c r="B84" s="65"/>
      <c r="C84" s="68"/>
      <c r="D84" s="69"/>
      <c r="E84" s="70"/>
      <c r="G84" s="72"/>
    </row>
    <row r="85" spans="1:7" s="6" customFormat="1" ht="14.25" customHeight="1" x14ac:dyDescent="0.2">
      <c r="A85" s="10"/>
      <c r="B85" s="10" t="s">
        <v>85</v>
      </c>
      <c r="C85" s="11"/>
      <c r="D85" s="3">
        <f>SUM(E86:E95)/D86</f>
        <v>322.13</v>
      </c>
      <c r="E85" s="9"/>
      <c r="G85" s="72"/>
    </row>
    <row r="86" spans="1:7" s="6" customFormat="1" ht="14.25" customHeight="1" x14ac:dyDescent="0.2">
      <c r="A86" s="12" t="s">
        <v>86</v>
      </c>
      <c r="B86" s="7" t="s">
        <v>87</v>
      </c>
      <c r="C86" s="71">
        <v>263.52999999999997</v>
      </c>
      <c r="D86" s="13">
        <f>SUM(D89:D92)</f>
        <v>205</v>
      </c>
      <c r="E86" s="9">
        <f t="shared" ref="E86:E95" si="16">D86*C86</f>
        <v>54023.649999999994</v>
      </c>
      <c r="G86" s="72">
        <v>205</v>
      </c>
    </row>
    <row r="87" spans="1:7" s="6" customFormat="1" ht="14.25" customHeight="1" x14ac:dyDescent="0.2">
      <c r="A87" s="12"/>
      <c r="B87" s="7" t="s">
        <v>88</v>
      </c>
      <c r="C87" s="14">
        <v>6.67</v>
      </c>
      <c r="D87" s="13">
        <f>D86</f>
        <v>205</v>
      </c>
      <c r="E87" s="9">
        <f t="shared" si="16"/>
        <v>1367.35</v>
      </c>
      <c r="G87" s="72">
        <v>205</v>
      </c>
    </row>
    <row r="88" spans="1:7" s="6" customFormat="1" ht="14.25" customHeight="1" x14ac:dyDescent="0.2">
      <c r="A88" s="31"/>
      <c r="B88" s="7" t="s">
        <v>89</v>
      </c>
      <c r="C88" s="14">
        <v>4.1100000000000003</v>
      </c>
      <c r="D88" s="13">
        <f>D86</f>
        <v>205</v>
      </c>
      <c r="E88" s="9">
        <f t="shared" si="16"/>
        <v>842.55000000000007</v>
      </c>
      <c r="G88" s="72">
        <v>205</v>
      </c>
    </row>
    <row r="89" spans="1:7" s="6" customFormat="1" ht="14.25" customHeight="1" x14ac:dyDescent="0.2">
      <c r="A89" s="32">
        <f>1+69</f>
        <v>70</v>
      </c>
      <c r="B89" s="7" t="s">
        <v>90</v>
      </c>
      <c r="C89" s="14">
        <v>14.44</v>
      </c>
      <c r="D89" s="24">
        <v>117</v>
      </c>
      <c r="E89" s="9">
        <f t="shared" si="16"/>
        <v>1689.48</v>
      </c>
      <c r="G89" s="72">
        <v>117</v>
      </c>
    </row>
    <row r="90" spans="1:7" s="6" customFormat="1" ht="14.25" customHeight="1" x14ac:dyDescent="0.2">
      <c r="A90" s="32">
        <f>3+176</f>
        <v>179</v>
      </c>
      <c r="B90" s="7" t="s">
        <v>91</v>
      </c>
      <c r="C90" s="14">
        <v>14.44</v>
      </c>
      <c r="D90" s="24">
        <v>71</v>
      </c>
      <c r="E90" s="9">
        <f t="shared" si="16"/>
        <v>1025.24</v>
      </c>
      <c r="G90" s="72">
        <v>71</v>
      </c>
    </row>
    <row r="91" spans="1:7" s="6" customFormat="1" ht="14.25" customHeight="1" x14ac:dyDescent="0.2">
      <c r="A91" s="32">
        <v>24</v>
      </c>
      <c r="B91" s="7" t="s">
        <v>92</v>
      </c>
      <c r="C91" s="14">
        <v>14.44</v>
      </c>
      <c r="D91" s="24">
        <v>15</v>
      </c>
      <c r="E91" s="9">
        <f t="shared" si="16"/>
        <v>216.6</v>
      </c>
      <c r="G91" s="72">
        <v>15</v>
      </c>
    </row>
    <row r="92" spans="1:7" s="6" customFormat="1" ht="14.25" customHeight="1" x14ac:dyDescent="0.2">
      <c r="A92" s="33">
        <f>3+96</f>
        <v>99</v>
      </c>
      <c r="B92" s="7" t="s">
        <v>93</v>
      </c>
      <c r="C92" s="14">
        <v>14.44</v>
      </c>
      <c r="D92" s="24">
        <v>2</v>
      </c>
      <c r="E92" s="9">
        <f t="shared" si="16"/>
        <v>28.88</v>
      </c>
      <c r="G92" s="72">
        <v>2</v>
      </c>
    </row>
    <row r="93" spans="1:7" s="6" customFormat="1" ht="14.25" customHeight="1" x14ac:dyDescent="0.2">
      <c r="A93" s="12" t="s">
        <v>81</v>
      </c>
      <c r="B93" s="6" t="s">
        <v>82</v>
      </c>
      <c r="C93" s="11">
        <v>21.6</v>
      </c>
      <c r="D93" s="13">
        <v>205</v>
      </c>
      <c r="E93" s="9">
        <f t="shared" si="16"/>
        <v>4428</v>
      </c>
      <c r="G93" s="72">
        <v>205</v>
      </c>
    </row>
    <row r="94" spans="1:7" s="6" customFormat="1" ht="14.25" customHeight="1" x14ac:dyDescent="0.2">
      <c r="A94" s="7"/>
      <c r="B94" s="25" t="s">
        <v>94</v>
      </c>
      <c r="C94" s="11">
        <v>7.34</v>
      </c>
      <c r="D94" s="8">
        <f>D86</f>
        <v>205</v>
      </c>
      <c r="E94" s="9">
        <f t="shared" si="16"/>
        <v>1504.7</v>
      </c>
      <c r="G94" s="72"/>
    </row>
    <row r="95" spans="1:7" s="6" customFormat="1" ht="14.25" customHeight="1" x14ac:dyDescent="0.2">
      <c r="A95" s="7"/>
      <c r="B95" s="25" t="s">
        <v>95</v>
      </c>
      <c r="C95" s="11">
        <v>4.4400000000000004</v>
      </c>
      <c r="D95" s="8">
        <f>D86*1</f>
        <v>205</v>
      </c>
      <c r="E95" s="9">
        <f t="shared" si="16"/>
        <v>910.2</v>
      </c>
      <c r="G95" s="72"/>
    </row>
    <row r="96" spans="1:7" s="6" customFormat="1" ht="14.25" customHeight="1" x14ac:dyDescent="0.2">
      <c r="A96" s="12"/>
      <c r="B96" s="7"/>
      <c r="C96" s="11"/>
      <c r="D96" s="8"/>
      <c r="E96" s="9"/>
      <c r="G96" s="72"/>
    </row>
    <row r="97" spans="1:7" s="6" customFormat="1" ht="14.25" hidden="1" customHeight="1" x14ac:dyDescent="0.2">
      <c r="A97" s="12"/>
      <c r="B97" s="7"/>
      <c r="C97" s="11"/>
      <c r="D97" s="8"/>
      <c r="E97" s="9"/>
      <c r="G97" s="72"/>
    </row>
    <row r="98" spans="1:7" s="6" customFormat="1" ht="14.25" hidden="1" customHeight="1" x14ac:dyDescent="0.2">
      <c r="A98" s="10"/>
      <c r="B98" s="10" t="s">
        <v>96</v>
      </c>
      <c r="C98" s="11"/>
      <c r="D98" s="3" t="e">
        <f>SUM(E99:E121)/D99</f>
        <v>#DIV/0!</v>
      </c>
      <c r="E98" s="9"/>
      <c r="G98" s="72"/>
    </row>
    <row r="99" spans="1:7" s="6" customFormat="1" ht="14.25" hidden="1" customHeight="1" x14ac:dyDescent="0.2">
      <c r="A99" s="12"/>
      <c r="B99" s="7" t="s">
        <v>97</v>
      </c>
      <c r="C99" s="28"/>
      <c r="D99" s="13"/>
      <c r="E99" s="9">
        <f t="shared" ref="E99:E121" si="17">D99*C99</f>
        <v>0</v>
      </c>
      <c r="G99" s="72"/>
    </row>
    <row r="100" spans="1:7" s="6" customFormat="1" ht="14.25" hidden="1" customHeight="1" x14ac:dyDescent="0.2">
      <c r="A100" s="12"/>
      <c r="B100" s="7" t="s">
        <v>98</v>
      </c>
      <c r="C100" s="11"/>
      <c r="D100" s="13"/>
      <c r="E100" s="9">
        <f t="shared" si="17"/>
        <v>0</v>
      </c>
      <c r="G100" s="72"/>
    </row>
    <row r="101" spans="1:7" s="6" customFormat="1" ht="14.25" hidden="1" customHeight="1" x14ac:dyDescent="0.2">
      <c r="A101" s="12"/>
      <c r="B101" s="7" t="s">
        <v>99</v>
      </c>
      <c r="C101" s="11"/>
      <c r="D101" s="13">
        <f>$D$100</f>
        <v>0</v>
      </c>
      <c r="E101" s="9">
        <f t="shared" si="17"/>
        <v>0</v>
      </c>
      <c r="G101" s="72"/>
    </row>
    <row r="102" spans="1:7" s="6" customFormat="1" ht="14.25" hidden="1" customHeight="1" x14ac:dyDescent="0.2">
      <c r="A102" s="31"/>
      <c r="B102" s="7" t="s">
        <v>100</v>
      </c>
      <c r="C102" s="11"/>
      <c r="D102" s="13">
        <f t="shared" ref="D102:D111" si="18">$D$100*2</f>
        <v>0</v>
      </c>
      <c r="E102" s="9">
        <f t="shared" si="17"/>
        <v>0</v>
      </c>
      <c r="G102" s="72"/>
    </row>
    <row r="103" spans="1:7" s="6" customFormat="1" ht="14.25" hidden="1" customHeight="1" x14ac:dyDescent="0.2">
      <c r="A103" s="12"/>
      <c r="B103" s="7" t="s">
        <v>101</v>
      </c>
      <c r="C103" s="11"/>
      <c r="D103" s="13">
        <f t="shared" si="18"/>
        <v>0</v>
      </c>
      <c r="E103" s="9">
        <f t="shared" si="17"/>
        <v>0</v>
      </c>
      <c r="G103" s="72"/>
    </row>
    <row r="104" spans="1:7" s="6" customFormat="1" ht="14.25" hidden="1" customHeight="1" x14ac:dyDescent="0.2">
      <c r="A104" s="12"/>
      <c r="B104" s="7" t="s">
        <v>102</v>
      </c>
      <c r="C104" s="11"/>
      <c r="D104" s="13">
        <f t="shared" si="18"/>
        <v>0</v>
      </c>
      <c r="E104" s="9">
        <f t="shared" si="17"/>
        <v>0</v>
      </c>
      <c r="G104" s="72"/>
    </row>
    <row r="105" spans="1:7" s="6" customFormat="1" ht="14.25" hidden="1" customHeight="1" x14ac:dyDescent="0.2">
      <c r="A105" s="12"/>
      <c r="B105" s="7" t="s">
        <v>103</v>
      </c>
      <c r="C105" s="11"/>
      <c r="D105" s="13">
        <f t="shared" si="18"/>
        <v>0</v>
      </c>
      <c r="E105" s="9">
        <f t="shared" si="17"/>
        <v>0</v>
      </c>
      <c r="G105" s="72"/>
    </row>
    <row r="106" spans="1:7" s="6" customFormat="1" ht="14.25" hidden="1" customHeight="1" x14ac:dyDescent="0.2">
      <c r="A106" s="31"/>
      <c r="B106" s="7" t="s">
        <v>104</v>
      </c>
      <c r="C106" s="11"/>
      <c r="D106" s="13">
        <f t="shared" si="18"/>
        <v>0</v>
      </c>
      <c r="E106" s="9">
        <f t="shared" si="17"/>
        <v>0</v>
      </c>
      <c r="G106" s="72"/>
    </row>
    <row r="107" spans="1:7" s="6" customFormat="1" ht="14.25" hidden="1" customHeight="1" x14ac:dyDescent="0.2">
      <c r="A107" s="31"/>
      <c r="B107" s="7" t="s">
        <v>105</v>
      </c>
      <c r="C107" s="11"/>
      <c r="D107" s="13">
        <f t="shared" si="18"/>
        <v>0</v>
      </c>
      <c r="E107" s="9">
        <f t="shared" si="17"/>
        <v>0</v>
      </c>
      <c r="G107" s="72"/>
    </row>
    <row r="108" spans="1:7" s="6" customFormat="1" ht="14.25" hidden="1" customHeight="1" x14ac:dyDescent="0.2">
      <c r="A108" s="12"/>
      <c r="B108" s="6" t="s">
        <v>106</v>
      </c>
      <c r="C108" s="11"/>
      <c r="D108" s="13">
        <f t="shared" si="18"/>
        <v>0</v>
      </c>
      <c r="E108" s="9">
        <f t="shared" si="17"/>
        <v>0</v>
      </c>
      <c r="G108" s="72"/>
    </row>
    <row r="109" spans="1:7" s="6" customFormat="1" ht="14.25" hidden="1" customHeight="1" x14ac:dyDescent="0.2">
      <c r="A109" s="7"/>
      <c r="B109" s="25" t="s">
        <v>107</v>
      </c>
      <c r="C109" s="11"/>
      <c r="D109" s="13">
        <f t="shared" si="18"/>
        <v>0</v>
      </c>
      <c r="E109" s="9">
        <f t="shared" si="17"/>
        <v>0</v>
      </c>
      <c r="G109" s="72"/>
    </row>
    <row r="110" spans="1:7" s="6" customFormat="1" ht="14.25" hidden="1" customHeight="1" x14ac:dyDescent="0.2">
      <c r="A110" s="31"/>
      <c r="B110" s="7" t="s">
        <v>108</v>
      </c>
      <c r="C110" s="11"/>
      <c r="D110" s="13">
        <f t="shared" si="18"/>
        <v>0</v>
      </c>
      <c r="E110" s="9">
        <f t="shared" si="17"/>
        <v>0</v>
      </c>
      <c r="G110" s="72"/>
    </row>
    <row r="111" spans="1:7" s="6" customFormat="1" ht="14.25" hidden="1" customHeight="1" x14ac:dyDescent="0.2">
      <c r="A111" s="31"/>
      <c r="B111" s="7" t="s">
        <v>109</v>
      </c>
      <c r="C111" s="11"/>
      <c r="D111" s="13">
        <f t="shared" si="18"/>
        <v>0</v>
      </c>
      <c r="E111" s="9">
        <f t="shared" si="17"/>
        <v>0</v>
      </c>
      <c r="G111" s="72"/>
    </row>
    <row r="112" spans="1:7" s="6" customFormat="1" ht="14.25" hidden="1" customHeight="1" x14ac:dyDescent="0.2">
      <c r="A112" s="12"/>
      <c r="B112" s="6" t="s">
        <v>110</v>
      </c>
      <c r="C112" s="11"/>
      <c r="D112" s="13">
        <f>$D$100*4</f>
        <v>0</v>
      </c>
      <c r="E112" s="9">
        <f t="shared" si="17"/>
        <v>0</v>
      </c>
      <c r="G112" s="72"/>
    </row>
    <row r="113" spans="1:7" s="6" customFormat="1" ht="14.25" hidden="1" customHeight="1" x14ac:dyDescent="0.2">
      <c r="A113" s="7"/>
      <c r="B113" s="25" t="s">
        <v>111</v>
      </c>
      <c r="C113" s="11"/>
      <c r="D113" s="13">
        <f t="shared" ref="D113:D121" si="19">$D$100*2</f>
        <v>0</v>
      </c>
      <c r="E113" s="9">
        <f t="shared" si="17"/>
        <v>0</v>
      </c>
      <c r="G113" s="72"/>
    </row>
    <row r="114" spans="1:7" s="6" customFormat="1" ht="14.25" hidden="1" customHeight="1" x14ac:dyDescent="0.2">
      <c r="A114" s="7"/>
      <c r="B114" s="25" t="s">
        <v>112</v>
      </c>
      <c r="C114" s="11"/>
      <c r="D114" s="13">
        <f t="shared" si="19"/>
        <v>0</v>
      </c>
      <c r="E114" s="9">
        <f t="shared" si="17"/>
        <v>0</v>
      </c>
      <c r="G114" s="72"/>
    </row>
    <row r="115" spans="1:7" s="6" customFormat="1" ht="14.25" hidden="1" customHeight="1" x14ac:dyDescent="0.2">
      <c r="A115" s="7"/>
      <c r="B115" s="25" t="s">
        <v>113</v>
      </c>
      <c r="C115" s="11"/>
      <c r="D115" s="13">
        <f t="shared" si="19"/>
        <v>0</v>
      </c>
      <c r="E115" s="9">
        <f t="shared" si="17"/>
        <v>0</v>
      </c>
      <c r="G115" s="72"/>
    </row>
    <row r="116" spans="1:7" s="6" customFormat="1" ht="14.25" hidden="1" customHeight="1" x14ac:dyDescent="0.2">
      <c r="A116" s="7"/>
      <c r="B116" s="25" t="s">
        <v>114</v>
      </c>
      <c r="C116" s="11"/>
      <c r="D116" s="13">
        <f t="shared" si="19"/>
        <v>0</v>
      </c>
      <c r="E116" s="9">
        <f t="shared" si="17"/>
        <v>0</v>
      </c>
      <c r="G116" s="72"/>
    </row>
    <row r="117" spans="1:7" s="6" customFormat="1" ht="14.25" hidden="1" customHeight="1" x14ac:dyDescent="0.2">
      <c r="A117" s="12" t="s">
        <v>115</v>
      </c>
      <c r="B117" s="6" t="s">
        <v>116</v>
      </c>
      <c r="C117" s="11"/>
      <c r="D117" s="13">
        <f t="shared" si="19"/>
        <v>0</v>
      </c>
      <c r="E117" s="9">
        <f t="shared" si="17"/>
        <v>0</v>
      </c>
      <c r="G117" s="72"/>
    </row>
    <row r="118" spans="1:7" s="6" customFormat="1" ht="14.25" hidden="1" customHeight="1" x14ac:dyDescent="0.2">
      <c r="A118" s="7"/>
      <c r="B118" s="25" t="s">
        <v>94</v>
      </c>
      <c r="C118" s="11"/>
      <c r="D118" s="13">
        <f t="shared" si="19"/>
        <v>0</v>
      </c>
      <c r="E118" s="9">
        <f t="shared" si="17"/>
        <v>0</v>
      </c>
      <c r="G118" s="72"/>
    </row>
    <row r="119" spans="1:7" s="6" customFormat="1" ht="14.25" hidden="1" customHeight="1" x14ac:dyDescent="0.2">
      <c r="A119" s="7"/>
      <c r="B119" s="25" t="s">
        <v>95</v>
      </c>
      <c r="C119" s="11"/>
      <c r="D119" s="13">
        <f t="shared" si="19"/>
        <v>0</v>
      </c>
      <c r="E119" s="9">
        <f t="shared" si="17"/>
        <v>0</v>
      </c>
      <c r="G119" s="72"/>
    </row>
    <row r="120" spans="1:7" s="6" customFormat="1" ht="14.25" hidden="1" customHeight="1" x14ac:dyDescent="0.2">
      <c r="A120" s="7"/>
      <c r="B120" s="25" t="s">
        <v>84</v>
      </c>
      <c r="C120" s="34"/>
      <c r="D120" s="13">
        <f t="shared" si="19"/>
        <v>0</v>
      </c>
      <c r="E120" s="9">
        <f t="shared" si="17"/>
        <v>0</v>
      </c>
      <c r="G120" s="72"/>
    </row>
    <row r="121" spans="1:7" s="6" customFormat="1" ht="14.25" hidden="1" customHeight="1" x14ac:dyDescent="0.2">
      <c r="A121" s="7"/>
      <c r="B121" s="25" t="s">
        <v>45</v>
      </c>
      <c r="C121" s="34"/>
      <c r="D121" s="13">
        <f t="shared" si="19"/>
        <v>0</v>
      </c>
      <c r="E121" s="9">
        <f t="shared" si="17"/>
        <v>0</v>
      </c>
      <c r="G121" s="72"/>
    </row>
    <row r="122" spans="1:7" s="6" customFormat="1" ht="14.25" customHeight="1" x14ac:dyDescent="0.2">
      <c r="A122" s="12"/>
      <c r="B122" s="7"/>
      <c r="C122" s="11"/>
      <c r="D122" s="8"/>
      <c r="E122" s="9"/>
      <c r="G122" s="72"/>
    </row>
    <row r="123" spans="1:7" s="6" customFormat="1" ht="14.25" customHeight="1" x14ac:dyDescent="0.2">
      <c r="A123" s="7"/>
      <c r="B123" s="10" t="s">
        <v>117</v>
      </c>
      <c r="C123" s="11"/>
      <c r="D123" s="3">
        <f>SUM(E124:E133)/D124</f>
        <v>937.82999999999993</v>
      </c>
      <c r="E123" s="9"/>
      <c r="G123" s="72"/>
    </row>
    <row r="124" spans="1:7" s="6" customFormat="1" ht="14.25" customHeight="1" x14ac:dyDescent="0.2">
      <c r="A124" s="6" t="s">
        <v>118</v>
      </c>
      <c r="B124" s="6" t="s">
        <v>119</v>
      </c>
      <c r="C124" s="11">
        <v>573.41</v>
      </c>
      <c r="D124" s="35">
        <f>SUM(D128:D130)</f>
        <v>5</v>
      </c>
      <c r="E124" s="9">
        <f t="shared" ref="E124" si="20">SUM(C124*D124)</f>
        <v>2867.0499999999997</v>
      </c>
      <c r="G124" s="72">
        <v>5</v>
      </c>
    </row>
    <row r="125" spans="1:7" s="6" customFormat="1" ht="14.25" customHeight="1" x14ac:dyDescent="0.2">
      <c r="A125" s="6" t="s">
        <v>120</v>
      </c>
      <c r="B125" s="36" t="s">
        <v>121</v>
      </c>
      <c r="C125" s="11">
        <v>161.25</v>
      </c>
      <c r="D125" s="37">
        <f>D124</f>
        <v>5</v>
      </c>
      <c r="E125" s="9">
        <f t="shared" ref="E125:E133" si="21">SUM(C125*D125)</f>
        <v>806.25</v>
      </c>
      <c r="G125" s="72"/>
    </row>
    <row r="126" spans="1:7" s="6" customFormat="1" ht="14.25" customHeight="1" x14ac:dyDescent="0.2">
      <c r="B126" s="6" t="s">
        <v>122</v>
      </c>
      <c r="C126" s="15">
        <v>49.57</v>
      </c>
      <c r="D126" s="37">
        <f>D124</f>
        <v>5</v>
      </c>
      <c r="E126" s="9">
        <f t="shared" si="21"/>
        <v>247.85</v>
      </c>
      <c r="G126" s="72">
        <v>5</v>
      </c>
    </row>
    <row r="127" spans="1:7" s="6" customFormat="1" ht="14.25" customHeight="1" x14ac:dyDescent="0.2">
      <c r="A127" s="31"/>
      <c r="B127" s="7" t="s">
        <v>89</v>
      </c>
      <c r="C127" s="11">
        <v>2.46</v>
      </c>
      <c r="D127" s="37">
        <f>D124*2</f>
        <v>10</v>
      </c>
      <c r="E127" s="9">
        <f t="shared" si="21"/>
        <v>24.6</v>
      </c>
      <c r="G127" s="72">
        <v>10</v>
      </c>
    </row>
    <row r="128" spans="1:7" s="6" customFormat="1" ht="14.25" customHeight="1" x14ac:dyDescent="0.2">
      <c r="A128" s="12"/>
      <c r="B128" s="7" t="s">
        <v>123</v>
      </c>
      <c r="C128" s="11">
        <v>14.44</v>
      </c>
      <c r="D128" s="24">
        <v>3</v>
      </c>
      <c r="E128" s="9">
        <f t="shared" si="21"/>
        <v>43.32</v>
      </c>
      <c r="G128" s="72">
        <v>3</v>
      </c>
    </row>
    <row r="129" spans="1:9" s="6" customFormat="1" ht="14.25" customHeight="1" x14ac:dyDescent="0.2">
      <c r="A129" s="31"/>
      <c r="B129" s="7" t="s">
        <v>124</v>
      </c>
      <c r="C129" s="11">
        <v>14.44</v>
      </c>
      <c r="D129" s="24">
        <v>1</v>
      </c>
      <c r="E129" s="9">
        <f t="shared" si="21"/>
        <v>14.44</v>
      </c>
      <c r="G129" s="72">
        <v>1</v>
      </c>
    </row>
    <row r="130" spans="1:9" s="6" customFormat="1" ht="14.25" customHeight="1" x14ac:dyDescent="0.2">
      <c r="A130" s="31"/>
      <c r="B130" s="7" t="s">
        <v>125</v>
      </c>
      <c r="C130" s="11">
        <v>14.44</v>
      </c>
      <c r="D130" s="24">
        <v>1</v>
      </c>
      <c r="E130" s="9">
        <f t="shared" si="21"/>
        <v>14.44</v>
      </c>
      <c r="G130" s="72">
        <v>1</v>
      </c>
    </row>
    <row r="131" spans="1:9" s="100" customFormat="1" ht="14.25" customHeight="1" x14ac:dyDescent="0.2">
      <c r="A131" s="103" t="s">
        <v>126</v>
      </c>
      <c r="B131" s="100" t="s">
        <v>127</v>
      </c>
      <c r="C131" s="97">
        <v>57.6</v>
      </c>
      <c r="D131" s="105">
        <f>D124</f>
        <v>5</v>
      </c>
      <c r="E131" s="99">
        <f t="shared" si="21"/>
        <v>288</v>
      </c>
      <c r="G131" s="101">
        <v>5</v>
      </c>
      <c r="I131" s="100" t="s">
        <v>229</v>
      </c>
    </row>
    <row r="132" spans="1:9" s="100" customFormat="1" ht="14.25" customHeight="1" x14ac:dyDescent="0.2">
      <c r="A132" s="103" t="s">
        <v>128</v>
      </c>
      <c r="B132" s="100" t="s">
        <v>129</v>
      </c>
      <c r="C132" s="97">
        <v>69.3</v>
      </c>
      <c r="D132" s="105">
        <f>D131</f>
        <v>5</v>
      </c>
      <c r="E132" s="99">
        <f t="shared" si="21"/>
        <v>346.5</v>
      </c>
      <c r="G132" s="101">
        <v>5</v>
      </c>
      <c r="I132" s="100" t="s">
        <v>229</v>
      </c>
    </row>
    <row r="133" spans="1:9" s="6" customFormat="1" ht="14.25" customHeight="1" x14ac:dyDescent="0.2">
      <c r="A133" s="12"/>
      <c r="B133" s="25" t="s">
        <v>94</v>
      </c>
      <c r="C133" s="11">
        <v>7.34</v>
      </c>
      <c r="D133" s="37">
        <f>D131</f>
        <v>5</v>
      </c>
      <c r="E133" s="9">
        <f t="shared" si="21"/>
        <v>36.700000000000003</v>
      </c>
      <c r="G133" s="72"/>
    </row>
    <row r="134" spans="1:9" s="6" customFormat="1" ht="14.25" customHeight="1" x14ac:dyDescent="0.2">
      <c r="A134" s="25"/>
      <c r="B134" s="25"/>
      <c r="C134" s="11"/>
      <c r="D134" s="8"/>
      <c r="E134" s="9"/>
      <c r="G134" s="72"/>
    </row>
    <row r="135" spans="1:9" s="6" customFormat="1" ht="14.25" customHeight="1" x14ac:dyDescent="0.2">
      <c r="A135" s="38"/>
      <c r="B135" s="10" t="s">
        <v>130</v>
      </c>
      <c r="C135" s="11"/>
      <c r="D135" s="3">
        <f>SUM(E136:E143)/D136</f>
        <v>278.20000000000005</v>
      </c>
      <c r="E135" s="9"/>
      <c r="G135" s="72"/>
    </row>
    <row r="136" spans="1:9" s="6" customFormat="1" ht="14.25" customHeight="1" x14ac:dyDescent="0.2">
      <c r="A136" s="39"/>
      <c r="B136" s="25" t="s">
        <v>131</v>
      </c>
      <c r="C136" s="14">
        <v>142.24</v>
      </c>
      <c r="D136" s="13">
        <v>5</v>
      </c>
      <c r="E136" s="9">
        <f t="shared" ref="E136" si="22">SUM(C136*D136)</f>
        <v>711.2</v>
      </c>
      <c r="G136" s="72">
        <v>5</v>
      </c>
    </row>
    <row r="137" spans="1:9" s="6" customFormat="1" ht="14.25" customHeight="1" x14ac:dyDescent="0.2">
      <c r="A137" s="11"/>
      <c r="B137" s="25" t="s">
        <v>132</v>
      </c>
      <c r="C137" s="11">
        <v>6.54</v>
      </c>
      <c r="D137" s="8">
        <f>D136*2</f>
        <v>10</v>
      </c>
      <c r="E137" s="9">
        <f t="shared" ref="E137:E144" si="23">SUM(C137*D137)</f>
        <v>65.400000000000006</v>
      </c>
      <c r="G137" s="72"/>
    </row>
    <row r="138" spans="1:9" s="6" customFormat="1" ht="14.25" customHeight="1" x14ac:dyDescent="0.2">
      <c r="A138" s="11"/>
      <c r="B138" s="7" t="s">
        <v>124</v>
      </c>
      <c r="C138" s="11">
        <v>14.44</v>
      </c>
      <c r="D138" s="8">
        <v>3</v>
      </c>
      <c r="E138" s="9">
        <f t="shared" si="23"/>
        <v>43.32</v>
      </c>
      <c r="G138" s="72">
        <v>3</v>
      </c>
    </row>
    <row r="139" spans="1:9" s="6" customFormat="1" ht="14.25" customHeight="1" x14ac:dyDescent="0.2">
      <c r="A139" s="11"/>
      <c r="B139" s="7" t="s">
        <v>125</v>
      </c>
      <c r="C139" s="11">
        <v>14.44</v>
      </c>
      <c r="D139" s="8">
        <v>2</v>
      </c>
      <c r="E139" s="9">
        <f t="shared" si="23"/>
        <v>28.88</v>
      </c>
      <c r="G139" s="72">
        <v>2</v>
      </c>
    </row>
    <row r="140" spans="1:9" s="6" customFormat="1" ht="14.25" customHeight="1" x14ac:dyDescent="0.2">
      <c r="A140" s="7" t="s">
        <v>81</v>
      </c>
      <c r="B140" s="7" t="s">
        <v>82</v>
      </c>
      <c r="C140" s="11">
        <v>21.6</v>
      </c>
      <c r="D140" s="20">
        <f>SUM(D136:D136)</f>
        <v>5</v>
      </c>
      <c r="E140" s="9">
        <f t="shared" si="23"/>
        <v>108</v>
      </c>
      <c r="G140" s="72">
        <v>5</v>
      </c>
    </row>
    <row r="141" spans="1:9" s="6" customFormat="1" ht="14.25" customHeight="1" x14ac:dyDescent="0.2">
      <c r="A141" s="11"/>
      <c r="B141" s="6" t="s">
        <v>133</v>
      </c>
      <c r="C141" s="11">
        <v>54.9</v>
      </c>
      <c r="D141" s="8">
        <f>D136</f>
        <v>5</v>
      </c>
      <c r="E141" s="9">
        <f t="shared" si="23"/>
        <v>274.5</v>
      </c>
      <c r="G141" s="72"/>
    </row>
    <row r="142" spans="1:9" s="6" customFormat="1" ht="14.25" customHeight="1" x14ac:dyDescent="0.2">
      <c r="A142" s="31" t="s">
        <v>134</v>
      </c>
      <c r="B142" s="25" t="s">
        <v>94</v>
      </c>
      <c r="C142" s="11">
        <v>7.34</v>
      </c>
      <c r="D142" s="8">
        <f>SUM(D140:D141)</f>
        <v>10</v>
      </c>
      <c r="E142" s="9">
        <f t="shared" si="23"/>
        <v>73.400000000000006</v>
      </c>
      <c r="G142" s="72"/>
    </row>
    <row r="143" spans="1:9" s="6" customFormat="1" ht="14.25" customHeight="1" x14ac:dyDescent="0.2">
      <c r="A143" s="31"/>
      <c r="B143" s="25" t="s">
        <v>83</v>
      </c>
      <c r="C143" s="11">
        <v>8.6300000000000008</v>
      </c>
      <c r="D143" s="8">
        <f>D140*2</f>
        <v>10</v>
      </c>
      <c r="E143" s="9">
        <f t="shared" si="23"/>
        <v>86.300000000000011</v>
      </c>
      <c r="G143" s="72"/>
    </row>
    <row r="144" spans="1:9" s="6" customFormat="1" ht="14.25" customHeight="1" x14ac:dyDescent="0.2">
      <c r="A144" s="25"/>
      <c r="B144" s="25"/>
      <c r="C144" s="11"/>
      <c r="D144" s="8"/>
      <c r="E144" s="9">
        <f t="shared" si="23"/>
        <v>0</v>
      </c>
      <c r="G144" s="72"/>
    </row>
    <row r="145" spans="1:9" s="6" customFormat="1" ht="14.25" customHeight="1" x14ac:dyDescent="0.2">
      <c r="A145" s="60" t="s">
        <v>4</v>
      </c>
      <c r="B145" s="60"/>
      <c r="C145" s="61"/>
      <c r="D145" s="62"/>
      <c r="E145" s="60"/>
      <c r="G145" s="72"/>
    </row>
    <row r="146" spans="1:9" s="6" customFormat="1" ht="14.25" customHeight="1" x14ac:dyDescent="0.2">
      <c r="A146" s="7"/>
      <c r="B146" s="10" t="s">
        <v>135</v>
      </c>
      <c r="C146" s="40"/>
      <c r="D146" s="3">
        <f>SUM(E147:E154)/D147</f>
        <v>545.23</v>
      </c>
      <c r="E146" s="9"/>
      <c r="G146" s="72"/>
    </row>
    <row r="147" spans="1:9" s="100" customFormat="1" ht="14.25" customHeight="1" x14ac:dyDescent="0.2">
      <c r="A147" s="96" t="s">
        <v>136</v>
      </c>
      <c r="B147" s="96" t="s">
        <v>137</v>
      </c>
      <c r="C147" s="97">
        <v>141.75</v>
      </c>
      <c r="D147" s="98">
        <v>1</v>
      </c>
      <c r="E147" s="99">
        <f>SUM(C147*D147)</f>
        <v>141.75</v>
      </c>
      <c r="G147" s="101">
        <v>1</v>
      </c>
      <c r="I147" s="100" t="s">
        <v>229</v>
      </c>
    </row>
    <row r="148" spans="1:9" s="6" customFormat="1" ht="14.25" customHeight="1" x14ac:dyDescent="0.2">
      <c r="A148" s="7" t="s">
        <v>20</v>
      </c>
      <c r="B148" s="7" t="s">
        <v>138</v>
      </c>
      <c r="C148" s="11">
        <v>96.53</v>
      </c>
      <c r="D148" s="35">
        <v>1</v>
      </c>
      <c r="E148" s="9">
        <f t="shared" ref="E148:E152" si="24">SUM(C148*D148)</f>
        <v>96.53</v>
      </c>
      <c r="G148" s="72">
        <v>1</v>
      </c>
    </row>
    <row r="149" spans="1:9" s="6" customFormat="1" ht="14.25" customHeight="1" x14ac:dyDescent="0.2">
      <c r="A149" s="7"/>
      <c r="B149" s="7" t="s">
        <v>88</v>
      </c>
      <c r="C149" s="11">
        <v>6.54</v>
      </c>
      <c r="D149" s="35">
        <v>1</v>
      </c>
      <c r="E149" s="9">
        <f t="shared" si="24"/>
        <v>6.54</v>
      </c>
      <c r="G149" s="72">
        <v>1</v>
      </c>
    </row>
    <row r="150" spans="1:9" s="6" customFormat="1" ht="14.25" customHeight="1" x14ac:dyDescent="0.2">
      <c r="A150" s="12"/>
      <c r="B150" s="7" t="s">
        <v>89</v>
      </c>
      <c r="C150" s="11">
        <v>2.46</v>
      </c>
      <c r="D150" s="35">
        <v>1</v>
      </c>
      <c r="E150" s="9">
        <f t="shared" si="24"/>
        <v>2.46</v>
      </c>
      <c r="G150" s="72">
        <v>1</v>
      </c>
    </row>
    <row r="151" spans="1:9" s="6" customFormat="1" ht="14.25" customHeight="1" x14ac:dyDescent="0.2">
      <c r="A151" s="7"/>
      <c r="B151" s="7" t="s">
        <v>139</v>
      </c>
      <c r="C151" s="14">
        <v>30.56</v>
      </c>
      <c r="D151" s="40">
        <v>2</v>
      </c>
      <c r="E151" s="9">
        <f t="shared" si="24"/>
        <v>61.12</v>
      </c>
      <c r="G151" s="72">
        <v>2</v>
      </c>
    </row>
    <row r="152" spans="1:9" s="6" customFormat="1" ht="14.25" customHeight="1" x14ac:dyDescent="0.2">
      <c r="A152" s="6" t="s">
        <v>140</v>
      </c>
      <c r="B152" s="6" t="s">
        <v>141</v>
      </c>
      <c r="C152" s="11">
        <v>187.19</v>
      </c>
      <c r="D152" s="35">
        <v>1</v>
      </c>
      <c r="E152" s="9">
        <f t="shared" si="24"/>
        <v>187.19</v>
      </c>
      <c r="G152" s="72"/>
    </row>
    <row r="153" spans="1:9" s="100" customFormat="1" ht="14.25" customHeight="1" x14ac:dyDescent="0.2">
      <c r="A153" s="96" t="s">
        <v>142</v>
      </c>
      <c r="B153" s="96" t="s">
        <v>143</v>
      </c>
      <c r="C153" s="97">
        <v>42.3</v>
      </c>
      <c r="D153" s="98">
        <v>1</v>
      </c>
      <c r="E153" s="99">
        <f>SUM(C153*D153)</f>
        <v>42.3</v>
      </c>
      <c r="G153" s="101"/>
      <c r="I153" s="100" t="s">
        <v>229</v>
      </c>
    </row>
    <row r="154" spans="1:9" s="6" customFormat="1" ht="14.25" customHeight="1" x14ac:dyDescent="0.2">
      <c r="A154" s="7"/>
      <c r="B154" s="25" t="s">
        <v>94</v>
      </c>
      <c r="C154" s="11">
        <v>7.34</v>
      </c>
      <c r="D154" s="35">
        <v>1</v>
      </c>
      <c r="E154" s="9">
        <f>SUM(C154*D154)</f>
        <v>7.34</v>
      </c>
      <c r="G154" s="72"/>
    </row>
    <row r="155" spans="1:9" s="6" customFormat="1" ht="14.25" customHeight="1" x14ac:dyDescent="0.2">
      <c r="C155" s="11"/>
      <c r="D155" s="35"/>
      <c r="E155" s="9"/>
      <c r="G155" s="72"/>
    </row>
    <row r="156" spans="1:9" s="6" customFormat="1" ht="14.25" customHeight="1" x14ac:dyDescent="0.2">
      <c r="A156" s="7"/>
      <c r="B156" s="10" t="s">
        <v>144</v>
      </c>
      <c r="C156" s="40"/>
      <c r="D156" s="3">
        <f>SUM(E157:E165)/D157</f>
        <v>506.46999999999997</v>
      </c>
      <c r="E156" s="9"/>
      <c r="G156" s="72"/>
    </row>
    <row r="157" spans="1:9" s="100" customFormat="1" ht="14.25" customHeight="1" x14ac:dyDescent="0.2">
      <c r="A157" s="96" t="s">
        <v>145</v>
      </c>
      <c r="B157" s="96" t="s">
        <v>146</v>
      </c>
      <c r="C157" s="97">
        <v>108.99</v>
      </c>
      <c r="D157" s="98">
        <v>1</v>
      </c>
      <c r="E157" s="99">
        <f>SUM(C157*D157)</f>
        <v>108.99</v>
      </c>
      <c r="G157" s="101">
        <v>1</v>
      </c>
      <c r="I157" s="100" t="s">
        <v>229</v>
      </c>
    </row>
    <row r="158" spans="1:9" s="6" customFormat="1" ht="14.25" customHeight="1" x14ac:dyDescent="0.2">
      <c r="A158" s="7" t="s">
        <v>20</v>
      </c>
      <c r="B158" s="7" t="s">
        <v>138</v>
      </c>
      <c r="C158" s="11">
        <v>96.53</v>
      </c>
      <c r="D158" s="35">
        <v>1</v>
      </c>
      <c r="E158" s="9">
        <f t="shared" ref="E158:E166" si="25">SUM(C158*D158)</f>
        <v>96.53</v>
      </c>
      <c r="G158" s="72">
        <v>1</v>
      </c>
    </row>
    <row r="159" spans="1:9" s="6" customFormat="1" ht="14.25" customHeight="1" x14ac:dyDescent="0.2">
      <c r="A159" s="7" t="s">
        <v>147</v>
      </c>
      <c r="B159" s="7" t="s">
        <v>148</v>
      </c>
      <c r="C159" s="11">
        <v>65</v>
      </c>
      <c r="D159" s="35">
        <f t="shared" ref="D159:D165" si="26">$D$157</f>
        <v>1</v>
      </c>
      <c r="E159" s="9">
        <f t="shared" si="25"/>
        <v>65</v>
      </c>
      <c r="G159" s="72"/>
    </row>
    <row r="160" spans="1:9" s="6" customFormat="1" ht="14.25" customHeight="1" x14ac:dyDescent="0.2">
      <c r="A160" s="6" t="s">
        <v>140</v>
      </c>
      <c r="B160" s="6" t="s">
        <v>149</v>
      </c>
      <c r="C160" s="11">
        <v>54.98</v>
      </c>
      <c r="D160" s="35">
        <f t="shared" si="26"/>
        <v>1</v>
      </c>
      <c r="E160" s="9">
        <f t="shared" si="25"/>
        <v>54.98</v>
      </c>
      <c r="G160" s="72"/>
    </row>
    <row r="161" spans="1:7" s="6" customFormat="1" ht="14.25" customHeight="1" x14ac:dyDescent="0.2">
      <c r="A161" s="12" t="s">
        <v>34</v>
      </c>
      <c r="B161" s="7" t="s">
        <v>35</v>
      </c>
      <c r="C161" s="11">
        <v>29.76</v>
      </c>
      <c r="D161" s="35">
        <f t="shared" si="26"/>
        <v>1</v>
      </c>
      <c r="E161" s="9">
        <f t="shared" si="25"/>
        <v>29.76</v>
      </c>
      <c r="G161" s="72"/>
    </row>
    <row r="162" spans="1:7" s="6" customFormat="1" ht="14.25" customHeight="1" x14ac:dyDescent="0.2">
      <c r="B162" s="6" t="s">
        <v>150</v>
      </c>
      <c r="C162" s="15">
        <v>94.42</v>
      </c>
      <c r="D162" s="35">
        <f t="shared" si="26"/>
        <v>1</v>
      </c>
      <c r="E162" s="9">
        <f t="shared" si="25"/>
        <v>94.42</v>
      </c>
      <c r="G162" s="72">
        <v>1</v>
      </c>
    </row>
    <row r="163" spans="1:7" s="6" customFormat="1" ht="14.25" customHeight="1" x14ac:dyDescent="0.2">
      <c r="B163" s="7" t="s">
        <v>151</v>
      </c>
      <c r="C163" s="15">
        <v>7.15</v>
      </c>
      <c r="D163" s="35">
        <f t="shared" si="26"/>
        <v>1</v>
      </c>
      <c r="E163" s="9">
        <f t="shared" si="25"/>
        <v>7.15</v>
      </c>
      <c r="G163" s="72"/>
    </row>
    <row r="164" spans="1:7" s="6" customFormat="1" ht="14.25" customHeight="1" x14ac:dyDescent="0.2">
      <c r="A164" s="7" t="s">
        <v>142</v>
      </c>
      <c r="B164" s="7" t="s">
        <v>143</v>
      </c>
      <c r="C164" s="11">
        <v>42.3</v>
      </c>
      <c r="D164" s="20">
        <f t="shared" si="26"/>
        <v>1</v>
      </c>
      <c r="E164" s="9">
        <f t="shared" si="25"/>
        <v>42.3</v>
      </c>
      <c r="G164" s="72"/>
    </row>
    <row r="165" spans="1:7" s="6" customFormat="1" ht="14.25" customHeight="1" x14ac:dyDescent="0.2">
      <c r="A165" s="7"/>
      <c r="B165" s="25" t="s">
        <v>94</v>
      </c>
      <c r="C165" s="11">
        <v>7.34</v>
      </c>
      <c r="D165" s="35">
        <f t="shared" si="26"/>
        <v>1</v>
      </c>
      <c r="E165" s="9">
        <f t="shared" si="25"/>
        <v>7.34</v>
      </c>
      <c r="G165" s="72"/>
    </row>
    <row r="166" spans="1:7" s="6" customFormat="1" ht="14.25" customHeight="1" x14ac:dyDescent="0.2">
      <c r="C166" s="11"/>
      <c r="D166" s="37"/>
      <c r="E166" s="9">
        <f t="shared" si="25"/>
        <v>0</v>
      </c>
      <c r="G166" s="72"/>
    </row>
    <row r="167" spans="1:7" s="6" customFormat="1" ht="14.25" customHeight="1" x14ac:dyDescent="0.2">
      <c r="A167" s="60" t="s">
        <v>4</v>
      </c>
      <c r="B167" s="60"/>
      <c r="C167" s="61"/>
      <c r="D167" s="62"/>
      <c r="E167" s="60"/>
      <c r="G167" s="72"/>
    </row>
    <row r="168" spans="1:7" s="6" customFormat="1" ht="14.25" customHeight="1" x14ac:dyDescent="0.2">
      <c r="A168" s="10" t="s">
        <v>152</v>
      </c>
      <c r="B168" s="10" t="s">
        <v>153</v>
      </c>
      <c r="C168" s="39"/>
      <c r="D168" s="3">
        <f>SUM(E169:E199)</f>
        <v>27635.64</v>
      </c>
      <c r="E168" s="9"/>
      <c r="G168" s="72"/>
    </row>
    <row r="169" spans="1:7" s="6" customFormat="1" ht="14.25" customHeight="1" x14ac:dyDescent="0.2">
      <c r="A169" s="41">
        <v>1055</v>
      </c>
      <c r="B169" s="7" t="s">
        <v>154</v>
      </c>
      <c r="C169" s="14">
        <v>9.7799999999999994</v>
      </c>
      <c r="D169" s="13">
        <v>600</v>
      </c>
      <c r="E169" s="9">
        <f>D169*C169</f>
        <v>5868</v>
      </c>
      <c r="G169" s="72">
        <v>600</v>
      </c>
    </row>
    <row r="170" spans="1:7" s="6" customFormat="1" ht="14.25" customHeight="1" x14ac:dyDescent="0.2">
      <c r="A170" s="41">
        <v>88</v>
      </c>
      <c r="B170" s="7" t="s">
        <v>155</v>
      </c>
      <c r="C170" s="14">
        <v>7.78</v>
      </c>
      <c r="D170" s="13">
        <v>300</v>
      </c>
      <c r="E170" s="9">
        <f>D170*C170</f>
        <v>2334</v>
      </c>
      <c r="G170" s="72">
        <v>300</v>
      </c>
    </row>
    <row r="171" spans="1:7" s="6" customFormat="1" ht="14.25" customHeight="1" x14ac:dyDescent="0.2">
      <c r="A171" s="12"/>
      <c r="B171" s="7"/>
      <c r="C171" s="42"/>
      <c r="D171" s="13"/>
      <c r="E171" s="9"/>
      <c r="G171" s="72"/>
    </row>
    <row r="172" spans="1:7" s="6" customFormat="1" ht="14.25" customHeight="1" x14ac:dyDescent="0.2">
      <c r="A172" s="10" t="s">
        <v>156</v>
      </c>
      <c r="B172" s="10" t="s">
        <v>153</v>
      </c>
      <c r="C172" s="42"/>
      <c r="D172" s="13"/>
      <c r="E172" s="9"/>
      <c r="G172" s="72"/>
    </row>
    <row r="173" spans="1:7" s="6" customFormat="1" ht="14.25" customHeight="1" x14ac:dyDescent="0.2">
      <c r="A173" s="41">
        <v>4</v>
      </c>
      <c r="B173" s="7" t="s">
        <v>157</v>
      </c>
      <c r="C173" s="14">
        <v>36.89</v>
      </c>
      <c r="D173" s="13">
        <v>5</v>
      </c>
      <c r="E173" s="9">
        <f t="shared" ref="E173" si="27">D173*C173</f>
        <v>184.45</v>
      </c>
      <c r="G173" s="72">
        <v>5</v>
      </c>
    </row>
    <row r="174" spans="1:7" s="6" customFormat="1" ht="14.25" customHeight="1" x14ac:dyDescent="0.2">
      <c r="A174" s="12"/>
      <c r="B174" s="7"/>
      <c r="C174" s="42"/>
      <c r="D174" s="43"/>
      <c r="E174" s="9"/>
      <c r="G174" s="72"/>
    </row>
    <row r="175" spans="1:7" s="6" customFormat="1" ht="14.25" customHeight="1" x14ac:dyDescent="0.2">
      <c r="A175" s="10" t="s">
        <v>158</v>
      </c>
      <c r="B175" s="10" t="s">
        <v>153</v>
      </c>
      <c r="C175" s="42"/>
      <c r="D175" s="43"/>
      <c r="E175" s="9"/>
      <c r="G175" s="72"/>
    </row>
    <row r="176" spans="1:7" s="6" customFormat="1" ht="14.25" customHeight="1" x14ac:dyDescent="0.2">
      <c r="A176" s="41">
        <v>5</v>
      </c>
      <c r="B176" s="7" t="s">
        <v>159</v>
      </c>
      <c r="C176" s="14">
        <v>195.22</v>
      </c>
      <c r="D176" s="13">
        <v>5</v>
      </c>
      <c r="E176" s="9">
        <f t="shared" ref="E176:E179" si="28">D176*C176</f>
        <v>976.1</v>
      </c>
      <c r="G176" s="72">
        <v>5</v>
      </c>
    </row>
    <row r="177" spans="1:7" s="6" customFormat="1" ht="14.25" customHeight="1" x14ac:dyDescent="0.2">
      <c r="A177" s="41">
        <v>2</v>
      </c>
      <c r="B177" s="7" t="s">
        <v>160</v>
      </c>
      <c r="C177" s="14">
        <v>135.33000000000001</v>
      </c>
      <c r="D177" s="13">
        <v>2</v>
      </c>
      <c r="E177" s="9">
        <f t="shared" si="28"/>
        <v>270.66000000000003</v>
      </c>
      <c r="G177" s="72">
        <v>2</v>
      </c>
    </row>
    <row r="178" spans="1:7" s="6" customFormat="1" ht="14.25" customHeight="1" x14ac:dyDescent="0.2">
      <c r="A178" s="41">
        <v>21</v>
      </c>
      <c r="B178" s="7" t="s">
        <v>161</v>
      </c>
      <c r="C178" s="14">
        <v>135.33000000000001</v>
      </c>
      <c r="D178" s="13">
        <v>21</v>
      </c>
      <c r="E178" s="9">
        <f t="shared" si="28"/>
        <v>2841.9300000000003</v>
      </c>
      <c r="G178" s="72">
        <v>21</v>
      </c>
    </row>
    <row r="179" spans="1:7" s="6" customFormat="1" ht="14.25" customHeight="1" x14ac:dyDescent="0.2">
      <c r="A179" s="41">
        <v>3</v>
      </c>
      <c r="B179" s="7" t="s">
        <v>162</v>
      </c>
      <c r="C179" s="14">
        <v>64.78</v>
      </c>
      <c r="D179" s="13">
        <v>3</v>
      </c>
      <c r="E179" s="9">
        <f t="shared" si="28"/>
        <v>194.34</v>
      </c>
      <c r="G179" s="72">
        <v>3</v>
      </c>
    </row>
    <row r="180" spans="1:7" s="6" customFormat="1" ht="14.25" customHeight="1" x14ac:dyDescent="0.2">
      <c r="A180" s="12"/>
      <c r="B180" s="7"/>
      <c r="C180" s="42"/>
      <c r="D180" s="13"/>
      <c r="E180" s="9"/>
      <c r="G180" s="72"/>
    </row>
    <row r="181" spans="1:7" s="6" customFormat="1" ht="14.25" customHeight="1" x14ac:dyDescent="0.2">
      <c r="A181" s="10" t="s">
        <v>163</v>
      </c>
      <c r="B181" s="10" t="s">
        <v>153</v>
      </c>
      <c r="C181" s="42"/>
      <c r="D181" s="13"/>
      <c r="E181" s="9"/>
      <c r="G181" s="72"/>
    </row>
    <row r="182" spans="1:7" s="6" customFormat="1" ht="14.25" customHeight="1" x14ac:dyDescent="0.2">
      <c r="A182" s="41">
        <v>1</v>
      </c>
      <c r="B182" s="7" t="s">
        <v>164</v>
      </c>
      <c r="C182" s="14">
        <v>456</v>
      </c>
      <c r="D182" s="13">
        <v>1</v>
      </c>
      <c r="E182" s="9">
        <f>D182*C182</f>
        <v>456</v>
      </c>
      <c r="G182" s="72">
        <v>1</v>
      </c>
    </row>
    <row r="183" spans="1:7" s="6" customFormat="1" ht="14.25" customHeight="1" x14ac:dyDescent="0.2">
      <c r="A183" s="41">
        <v>2</v>
      </c>
      <c r="B183" s="7" t="s">
        <v>165</v>
      </c>
      <c r="C183" s="14">
        <v>99.11</v>
      </c>
      <c r="D183" s="13">
        <v>2</v>
      </c>
      <c r="E183" s="9">
        <f>D183*C183</f>
        <v>198.22</v>
      </c>
      <c r="G183" s="72">
        <v>2</v>
      </c>
    </row>
    <row r="184" spans="1:7" s="6" customFormat="1" ht="14.25" customHeight="1" x14ac:dyDescent="0.2">
      <c r="A184" s="7"/>
      <c r="B184" s="7"/>
      <c r="C184" s="42"/>
      <c r="D184" s="43"/>
      <c r="E184" s="9"/>
      <c r="G184" s="72"/>
    </row>
    <row r="185" spans="1:7" s="6" customFormat="1" ht="14.25" customHeight="1" x14ac:dyDescent="0.2">
      <c r="A185" s="10" t="s">
        <v>166</v>
      </c>
      <c r="B185" s="10" t="s">
        <v>153</v>
      </c>
      <c r="C185" s="42"/>
      <c r="D185" s="43"/>
      <c r="E185" s="9"/>
      <c r="G185" s="72"/>
    </row>
    <row r="186" spans="1:7" s="6" customFormat="1" ht="14.25" customHeight="1" x14ac:dyDescent="0.2">
      <c r="A186" s="41">
        <v>12</v>
      </c>
      <c r="B186" s="7" t="s">
        <v>167</v>
      </c>
      <c r="C186" s="14">
        <v>646.66999999999996</v>
      </c>
      <c r="D186" s="13">
        <v>1</v>
      </c>
      <c r="E186" s="9">
        <f t="shared" ref="E186:E188" si="29">D186*C186</f>
        <v>646.66999999999996</v>
      </c>
      <c r="G186" s="72">
        <v>1</v>
      </c>
    </row>
    <row r="187" spans="1:7" s="6" customFormat="1" ht="14.25" customHeight="1" x14ac:dyDescent="0.2">
      <c r="A187" s="41">
        <v>9</v>
      </c>
      <c r="B187" s="7" t="s">
        <v>168</v>
      </c>
      <c r="C187" s="14">
        <v>144.22</v>
      </c>
      <c r="D187" s="13">
        <v>1</v>
      </c>
      <c r="E187" s="9">
        <f t="shared" si="29"/>
        <v>144.22</v>
      </c>
      <c r="G187" s="72">
        <v>1</v>
      </c>
    </row>
    <row r="188" spans="1:7" s="6" customFormat="1" ht="14.25" customHeight="1" x14ac:dyDescent="0.2">
      <c r="A188" s="41">
        <v>4</v>
      </c>
      <c r="B188" s="7" t="s">
        <v>169</v>
      </c>
      <c r="C188" s="14">
        <v>131.11000000000001</v>
      </c>
      <c r="D188" s="13">
        <v>1</v>
      </c>
      <c r="E188" s="9">
        <f t="shared" si="29"/>
        <v>131.11000000000001</v>
      </c>
      <c r="G188" s="72"/>
    </row>
    <row r="189" spans="1:7" s="6" customFormat="1" ht="14.25" customHeight="1" x14ac:dyDescent="0.2">
      <c r="A189" s="12"/>
      <c r="B189" s="7"/>
      <c r="C189" s="42"/>
      <c r="D189" s="13"/>
      <c r="E189" s="9"/>
      <c r="G189" s="72"/>
    </row>
    <row r="190" spans="1:7" s="6" customFormat="1" ht="14.25" customHeight="1" x14ac:dyDescent="0.2">
      <c r="A190" s="10" t="s">
        <v>170</v>
      </c>
      <c r="B190" s="10" t="s">
        <v>153</v>
      </c>
      <c r="C190" s="42"/>
      <c r="D190" s="43"/>
      <c r="E190" s="9"/>
      <c r="G190" s="72"/>
    </row>
    <row r="191" spans="1:7" s="6" customFormat="1" ht="14.25" customHeight="1" x14ac:dyDescent="0.2">
      <c r="A191" s="41">
        <v>1</v>
      </c>
      <c r="B191" s="7" t="s">
        <v>171</v>
      </c>
      <c r="C191" s="14">
        <v>646.44000000000005</v>
      </c>
      <c r="D191" s="13">
        <v>4</v>
      </c>
      <c r="E191" s="9">
        <f t="shared" ref="E191:E193" si="30">D191*C191</f>
        <v>2585.7600000000002</v>
      </c>
      <c r="G191" s="72">
        <v>4</v>
      </c>
    </row>
    <row r="192" spans="1:7" s="6" customFormat="1" ht="14.25" customHeight="1" x14ac:dyDescent="0.2">
      <c r="A192" s="41">
        <v>1</v>
      </c>
      <c r="B192" s="7" t="s">
        <v>172</v>
      </c>
      <c r="C192" s="14">
        <v>641.53</v>
      </c>
      <c r="D192" s="13">
        <v>2</v>
      </c>
      <c r="E192" s="9">
        <f t="shared" si="30"/>
        <v>1283.06</v>
      </c>
      <c r="G192" s="72">
        <v>2</v>
      </c>
    </row>
    <row r="193" spans="1:9" s="6" customFormat="1" ht="14.25" customHeight="1" x14ac:dyDescent="0.2">
      <c r="A193" s="41">
        <v>2</v>
      </c>
      <c r="B193" s="7" t="s">
        <v>173</v>
      </c>
      <c r="C193" s="14">
        <v>960.28</v>
      </c>
      <c r="D193" s="13">
        <v>1</v>
      </c>
      <c r="E193" s="9">
        <f t="shared" si="30"/>
        <v>960.28</v>
      </c>
      <c r="G193" s="72">
        <v>1</v>
      </c>
    </row>
    <row r="194" spans="1:9" s="6" customFormat="1" ht="14.25" customHeight="1" x14ac:dyDescent="0.2">
      <c r="A194" s="12"/>
      <c r="B194" s="7"/>
      <c r="C194" s="42"/>
      <c r="D194" s="13"/>
      <c r="E194" s="9"/>
      <c r="G194" s="72"/>
    </row>
    <row r="195" spans="1:9" s="6" customFormat="1" ht="14.25" customHeight="1" x14ac:dyDescent="0.2">
      <c r="A195" s="10" t="s">
        <v>174</v>
      </c>
      <c r="B195" s="10" t="s">
        <v>153</v>
      </c>
      <c r="C195" s="42"/>
      <c r="D195" s="43"/>
      <c r="E195" s="9"/>
      <c r="G195" s="72"/>
    </row>
    <row r="196" spans="1:9" s="6" customFormat="1" ht="14.25" customHeight="1" x14ac:dyDescent="0.2">
      <c r="A196" s="41">
        <v>2</v>
      </c>
      <c r="B196" s="7" t="s">
        <v>175</v>
      </c>
      <c r="C196" s="14">
        <v>1213.01</v>
      </c>
      <c r="D196" s="13">
        <v>4</v>
      </c>
      <c r="E196" s="9">
        <f t="shared" ref="E196:E198" si="31">D196*C196</f>
        <v>4852.04</v>
      </c>
      <c r="G196" s="72">
        <v>4</v>
      </c>
    </row>
    <row r="197" spans="1:9" s="6" customFormat="1" ht="14.25" customHeight="1" x14ac:dyDescent="0.2">
      <c r="A197" s="41">
        <v>1</v>
      </c>
      <c r="B197" s="7" t="s">
        <v>176</v>
      </c>
      <c r="C197" s="14">
        <v>864.48</v>
      </c>
      <c r="D197" s="13">
        <v>1</v>
      </c>
      <c r="E197" s="9">
        <f t="shared" si="31"/>
        <v>864.48</v>
      </c>
      <c r="G197" s="72">
        <v>1</v>
      </c>
    </row>
    <row r="198" spans="1:9" s="6" customFormat="1" ht="14.25" customHeight="1" x14ac:dyDescent="0.2">
      <c r="A198" s="41">
        <v>1</v>
      </c>
      <c r="B198" s="7" t="s">
        <v>177</v>
      </c>
      <c r="C198" s="14">
        <v>711.08</v>
      </c>
      <c r="D198" s="13">
        <v>4</v>
      </c>
      <c r="E198" s="9">
        <f t="shared" si="31"/>
        <v>2844.32</v>
      </c>
      <c r="G198" s="72">
        <v>4</v>
      </c>
    </row>
    <row r="199" spans="1:9" s="6" customFormat="1" ht="14.25" customHeight="1" x14ac:dyDescent="0.2">
      <c r="A199" s="12"/>
      <c r="B199" s="7"/>
      <c r="C199" s="42"/>
      <c r="D199" s="13"/>
      <c r="E199" s="9"/>
      <c r="G199" s="72"/>
    </row>
    <row r="200" spans="1:9" s="6" customFormat="1" ht="14.25" customHeight="1" x14ac:dyDescent="0.2">
      <c r="A200" s="60" t="s">
        <v>4</v>
      </c>
      <c r="B200" s="60"/>
      <c r="C200" s="61"/>
      <c r="D200" s="62"/>
      <c r="E200" s="9">
        <f t="shared" ref="E200:E218" si="32">D200*C200</f>
        <v>0</v>
      </c>
      <c r="G200" s="72"/>
    </row>
    <row r="201" spans="1:9" s="6" customFormat="1" ht="14.25" customHeight="1" x14ac:dyDescent="0.2">
      <c r="A201" s="16"/>
      <c r="B201" s="10" t="s">
        <v>178</v>
      </c>
      <c r="C201" s="11"/>
      <c r="D201" s="3"/>
      <c r="E201" s="9">
        <f t="shared" si="32"/>
        <v>0</v>
      </c>
      <c r="G201" s="72"/>
    </row>
    <row r="202" spans="1:9" s="6" customFormat="1" ht="14.25" customHeight="1" x14ac:dyDescent="0.2">
      <c r="A202" s="44" t="s">
        <v>179</v>
      </c>
      <c r="B202" s="44" t="s">
        <v>180</v>
      </c>
      <c r="C202" s="11">
        <v>200</v>
      </c>
      <c r="D202" s="13">
        <v>2</v>
      </c>
      <c r="E202" s="9">
        <f t="shared" si="32"/>
        <v>400</v>
      </c>
      <c r="G202" s="72">
        <v>2</v>
      </c>
    </row>
    <row r="203" spans="1:9" s="100" customFormat="1" ht="14.25" customHeight="1" x14ac:dyDescent="0.2">
      <c r="A203" s="96" t="s">
        <v>181</v>
      </c>
      <c r="B203" s="106" t="s">
        <v>182</v>
      </c>
      <c r="C203" s="97">
        <v>120</v>
      </c>
      <c r="D203" s="104">
        <v>2</v>
      </c>
      <c r="E203" s="99">
        <f t="shared" si="32"/>
        <v>240</v>
      </c>
      <c r="G203" s="101">
        <v>2</v>
      </c>
      <c r="I203" s="100" t="s">
        <v>229</v>
      </c>
    </row>
    <row r="204" spans="1:9" s="6" customFormat="1" ht="14.25" customHeight="1" x14ac:dyDescent="0.2">
      <c r="A204" s="7"/>
      <c r="B204" s="7"/>
      <c r="C204" s="11"/>
      <c r="D204" s="8"/>
      <c r="E204" s="9">
        <f t="shared" si="32"/>
        <v>0</v>
      </c>
      <c r="G204" s="72"/>
    </row>
    <row r="205" spans="1:9" s="6" customFormat="1" ht="14.25" customHeight="1" x14ac:dyDescent="0.2">
      <c r="A205" s="16">
        <f>SUM(D68:D72)/500</f>
        <v>17.8</v>
      </c>
      <c r="B205" s="10" t="s">
        <v>183</v>
      </c>
      <c r="C205" s="11"/>
      <c r="D205" s="3"/>
      <c r="E205" s="9">
        <f t="shared" si="32"/>
        <v>0</v>
      </c>
      <c r="G205" s="72"/>
    </row>
    <row r="206" spans="1:9" s="100" customFormat="1" ht="14.25" customHeight="1" x14ac:dyDescent="0.2">
      <c r="A206" s="96" t="s">
        <v>184</v>
      </c>
      <c r="B206" s="96" t="s">
        <v>185</v>
      </c>
      <c r="C206" s="97">
        <v>56.6</v>
      </c>
      <c r="D206" s="104">
        <f>D207</f>
        <v>29</v>
      </c>
      <c r="E206" s="99">
        <f t="shared" si="32"/>
        <v>1641.4</v>
      </c>
      <c r="G206" s="101">
        <v>29</v>
      </c>
      <c r="I206" s="100" t="s">
        <v>229</v>
      </c>
    </row>
    <row r="207" spans="1:9" s="6" customFormat="1" ht="14.25" customHeight="1" x14ac:dyDescent="0.2">
      <c r="A207" s="66" t="s">
        <v>186</v>
      </c>
      <c r="B207" s="67" t="s">
        <v>187</v>
      </c>
      <c r="C207" s="11">
        <v>195.4</v>
      </c>
      <c r="D207" s="13">
        <v>29</v>
      </c>
      <c r="E207" s="9">
        <f t="shared" si="32"/>
        <v>5666.6</v>
      </c>
      <c r="G207" s="74">
        <v>28</v>
      </c>
      <c r="H207" s="6" t="s">
        <v>226</v>
      </c>
    </row>
    <row r="208" spans="1:9" s="6" customFormat="1" ht="14.25" customHeight="1" x14ac:dyDescent="0.2">
      <c r="A208" s="66" t="s">
        <v>188</v>
      </c>
      <c r="B208" s="67" t="s">
        <v>189</v>
      </c>
      <c r="C208" s="11">
        <v>34.479999999999997</v>
      </c>
      <c r="D208" s="13">
        <f>D207</f>
        <v>29</v>
      </c>
      <c r="E208" s="9">
        <f t="shared" si="32"/>
        <v>999.92</v>
      </c>
      <c r="G208" s="72">
        <v>29</v>
      </c>
    </row>
    <row r="209" spans="1:9" s="6" customFormat="1" ht="14.25" customHeight="1" x14ac:dyDescent="0.2">
      <c r="A209" s="66" t="s">
        <v>190</v>
      </c>
      <c r="B209" s="67" t="s">
        <v>191</v>
      </c>
      <c r="C209" s="14">
        <v>24.47</v>
      </c>
      <c r="D209" s="13">
        <f>D207</f>
        <v>29</v>
      </c>
      <c r="E209" s="9">
        <f t="shared" si="32"/>
        <v>709.63</v>
      </c>
      <c r="G209" s="72">
        <v>29</v>
      </c>
    </row>
    <row r="210" spans="1:9" s="6" customFormat="1" ht="14.25" customHeight="1" x14ac:dyDescent="0.2">
      <c r="A210" s="66" t="s">
        <v>192</v>
      </c>
      <c r="B210" s="67" t="s">
        <v>193</v>
      </c>
      <c r="C210" s="14">
        <v>114.94</v>
      </c>
      <c r="D210" s="13">
        <f>D207</f>
        <v>29</v>
      </c>
      <c r="E210" s="9">
        <f t="shared" si="32"/>
        <v>3333.2599999999998</v>
      </c>
      <c r="G210" s="72">
        <v>29</v>
      </c>
    </row>
    <row r="211" spans="1:9" s="6" customFormat="1" ht="14.25" customHeight="1" x14ac:dyDescent="0.2">
      <c r="A211" s="66" t="s">
        <v>194</v>
      </c>
      <c r="B211" s="67" t="s">
        <v>143</v>
      </c>
      <c r="C211" s="14">
        <v>42.3</v>
      </c>
      <c r="D211" s="13">
        <f>D207</f>
        <v>29</v>
      </c>
      <c r="E211" s="9">
        <f t="shared" si="32"/>
        <v>1226.6999999999998</v>
      </c>
      <c r="G211" s="72">
        <v>29</v>
      </c>
    </row>
    <row r="212" spans="1:9" s="6" customFormat="1" ht="14.25" customHeight="1" x14ac:dyDescent="0.2">
      <c r="A212" s="7"/>
      <c r="B212" s="7"/>
      <c r="C212" s="11"/>
      <c r="D212" s="8"/>
      <c r="E212" s="9">
        <f t="shared" si="32"/>
        <v>0</v>
      </c>
      <c r="G212" s="72"/>
    </row>
    <row r="213" spans="1:9" s="6" customFormat="1" ht="14.25" customHeight="1" x14ac:dyDescent="0.2">
      <c r="A213" s="7"/>
      <c r="B213" s="10" t="s">
        <v>195</v>
      </c>
      <c r="C213" s="11"/>
      <c r="D213" s="8"/>
      <c r="E213" s="9">
        <f t="shared" si="32"/>
        <v>0</v>
      </c>
      <c r="G213" s="72"/>
    </row>
    <row r="214" spans="1:9" s="6" customFormat="1" ht="14.25" customHeight="1" x14ac:dyDescent="0.2">
      <c r="A214" s="7"/>
      <c r="B214" s="7" t="s">
        <v>196</v>
      </c>
      <c r="C214" s="11">
        <v>4.18</v>
      </c>
      <c r="D214" s="8">
        <v>3000</v>
      </c>
      <c r="E214" s="9">
        <f t="shared" si="32"/>
        <v>12540</v>
      </c>
      <c r="G214" s="72">
        <v>3000</v>
      </c>
    </row>
    <row r="215" spans="1:9" s="6" customFormat="1" ht="14.25" customHeight="1" x14ac:dyDescent="0.2">
      <c r="A215" s="7"/>
      <c r="B215" s="7" t="s">
        <v>197</v>
      </c>
      <c r="C215" s="11">
        <v>1.55</v>
      </c>
      <c r="D215" s="8">
        <v>400</v>
      </c>
      <c r="E215" s="9">
        <f t="shared" si="32"/>
        <v>620</v>
      </c>
      <c r="G215" s="72">
        <v>400</v>
      </c>
    </row>
    <row r="216" spans="1:9" s="6" customFormat="1" ht="14.25" customHeight="1" x14ac:dyDescent="0.2">
      <c r="A216" s="7"/>
      <c r="B216" s="7"/>
      <c r="C216" s="11"/>
      <c r="D216" s="8"/>
      <c r="E216" s="9">
        <f t="shared" si="32"/>
        <v>0</v>
      </c>
      <c r="G216" s="72"/>
    </row>
    <row r="217" spans="1:9" s="6" customFormat="1" ht="14.25" customHeight="1" x14ac:dyDescent="0.2">
      <c r="A217" s="12" t="s">
        <v>115</v>
      </c>
      <c r="B217" s="6" t="s">
        <v>198</v>
      </c>
      <c r="C217" s="11">
        <v>25.61</v>
      </c>
      <c r="D217" s="8">
        <v>15</v>
      </c>
      <c r="E217" s="9">
        <f t="shared" si="32"/>
        <v>384.15</v>
      </c>
      <c r="G217" s="72"/>
    </row>
    <row r="218" spans="1:9" s="6" customFormat="1" ht="14.25" customHeight="1" x14ac:dyDescent="0.2">
      <c r="A218" s="7"/>
      <c r="B218" s="7" t="s">
        <v>199</v>
      </c>
      <c r="C218" s="11">
        <v>37.26</v>
      </c>
      <c r="D218" s="8">
        <v>20</v>
      </c>
      <c r="E218" s="9">
        <f t="shared" si="32"/>
        <v>745.19999999999993</v>
      </c>
      <c r="G218" s="72">
        <v>20</v>
      </c>
    </row>
    <row r="219" spans="1:9" s="6" customFormat="1" ht="14.25" customHeight="1" x14ac:dyDescent="0.2">
      <c r="A219" s="7"/>
      <c r="B219" s="7"/>
      <c r="C219" s="11"/>
      <c r="D219" s="8"/>
      <c r="E219" s="9"/>
      <c r="G219" s="72"/>
    </row>
    <row r="220" spans="1:9" s="6" customFormat="1" ht="14.25" customHeight="1" x14ac:dyDescent="0.2">
      <c r="A220" s="7"/>
      <c r="B220" s="10" t="s">
        <v>200</v>
      </c>
      <c r="C220" s="11"/>
      <c r="D220" s="8"/>
      <c r="E220" s="9"/>
      <c r="G220" s="72"/>
    </row>
    <row r="221" spans="1:9" s="100" customFormat="1" ht="14.25" customHeight="1" x14ac:dyDescent="0.2">
      <c r="A221" s="103"/>
      <c r="B221" s="96" t="s">
        <v>201</v>
      </c>
      <c r="C221" s="97">
        <v>71.52</v>
      </c>
      <c r="D221" s="107">
        <v>5</v>
      </c>
      <c r="E221" s="99">
        <f t="shared" ref="E221:E232" si="33">SUM(C221*D221)</f>
        <v>357.59999999999997</v>
      </c>
      <c r="F221" s="100" t="s">
        <v>222</v>
      </c>
      <c r="G221" s="101">
        <v>5</v>
      </c>
      <c r="I221" s="100" t="s">
        <v>229</v>
      </c>
    </row>
    <row r="222" spans="1:9" s="6" customFormat="1" ht="14.25" customHeight="1" x14ac:dyDescent="0.2">
      <c r="A222" s="12"/>
      <c r="B222" s="7" t="s">
        <v>202</v>
      </c>
      <c r="C222" s="15">
        <v>4.1900000000000004</v>
      </c>
      <c r="D222" s="8">
        <v>24</v>
      </c>
      <c r="E222" s="9">
        <f t="shared" si="33"/>
        <v>100.56</v>
      </c>
      <c r="G222" s="72"/>
      <c r="H222" s="6" t="s">
        <v>228</v>
      </c>
    </row>
    <row r="223" spans="1:9" s="6" customFormat="1" ht="14.25" customHeight="1" x14ac:dyDescent="0.2">
      <c r="A223" s="7"/>
      <c r="B223" s="7" t="s">
        <v>203</v>
      </c>
      <c r="C223" s="15">
        <v>6.51</v>
      </c>
      <c r="D223" s="8">
        <v>12</v>
      </c>
      <c r="E223" s="9">
        <f t="shared" si="33"/>
        <v>78.12</v>
      </c>
      <c r="G223" s="72"/>
      <c r="H223" s="6" t="s">
        <v>228</v>
      </c>
    </row>
    <row r="224" spans="1:9" s="6" customFormat="1" ht="14.25" customHeight="1" x14ac:dyDescent="0.2">
      <c r="A224" s="45">
        <f>Heads</f>
        <v>1289</v>
      </c>
      <c r="B224" s="7" t="s">
        <v>204</v>
      </c>
      <c r="C224" s="15">
        <v>8.5000000000000006E-2</v>
      </c>
      <c r="D224" s="8">
        <v>500</v>
      </c>
      <c r="E224" s="9">
        <f t="shared" si="33"/>
        <v>42.5</v>
      </c>
      <c r="G224" s="72"/>
      <c r="H224" s="6" t="s">
        <v>228</v>
      </c>
    </row>
    <row r="225" spans="1:8" s="6" customFormat="1" ht="14.25" customHeight="1" x14ac:dyDescent="0.2">
      <c r="A225" s="45">
        <f>D48</f>
        <v>42</v>
      </c>
      <c r="B225" s="7" t="s">
        <v>205</v>
      </c>
      <c r="C225" s="15">
        <v>8.5000000000000006E-2</v>
      </c>
      <c r="D225" s="8">
        <v>300</v>
      </c>
      <c r="E225" s="9">
        <f t="shared" si="33"/>
        <v>25.500000000000004</v>
      </c>
      <c r="G225" s="72"/>
      <c r="H225" s="6" t="s">
        <v>228</v>
      </c>
    </row>
    <row r="226" spans="1:8" s="6" customFormat="1" ht="14.25" customHeight="1" x14ac:dyDescent="0.2">
      <c r="A226" s="45">
        <f>D81</f>
        <v>29</v>
      </c>
      <c r="B226" s="7" t="s">
        <v>206</v>
      </c>
      <c r="C226" s="15">
        <v>8.5000000000000006E-2</v>
      </c>
      <c r="D226" s="8">
        <v>200</v>
      </c>
      <c r="E226" s="9">
        <f t="shared" si="33"/>
        <v>17</v>
      </c>
      <c r="G226" s="72"/>
      <c r="H226" s="6" t="s">
        <v>228</v>
      </c>
    </row>
    <row r="227" spans="1:8" s="6" customFormat="1" ht="14.25" customHeight="1" x14ac:dyDescent="0.2">
      <c r="A227" s="45" t="e">
        <f>#REF!</f>
        <v>#REF!</v>
      </c>
      <c r="B227" s="7" t="s">
        <v>207</v>
      </c>
      <c r="C227" s="15">
        <v>8.5000000000000006E-2</v>
      </c>
      <c r="D227" s="8">
        <v>100</v>
      </c>
      <c r="E227" s="9">
        <f t="shared" si="33"/>
        <v>8.5</v>
      </c>
      <c r="G227" s="72"/>
      <c r="H227" s="6" t="s">
        <v>228</v>
      </c>
    </row>
    <row r="228" spans="1:8" s="6" customFormat="1" ht="14.25" customHeight="1" x14ac:dyDescent="0.2">
      <c r="A228" s="45">
        <f>(D147+D157)</f>
        <v>2</v>
      </c>
      <c r="B228" s="7" t="s">
        <v>208</v>
      </c>
      <c r="C228" s="15">
        <v>8.5000000000000006E-2</v>
      </c>
      <c r="D228" s="8">
        <v>100</v>
      </c>
      <c r="E228" s="9">
        <f t="shared" si="33"/>
        <v>8.5</v>
      </c>
      <c r="G228" s="72"/>
      <c r="H228" s="6" t="s">
        <v>228</v>
      </c>
    </row>
    <row r="229" spans="1:8" s="6" customFormat="1" ht="14.25" customHeight="1" x14ac:dyDescent="0.2">
      <c r="A229" s="7"/>
      <c r="B229" s="7" t="s">
        <v>209</v>
      </c>
      <c r="C229" s="15">
        <v>58.98</v>
      </c>
      <c r="D229" s="8">
        <v>2</v>
      </c>
      <c r="E229" s="9">
        <f t="shared" si="33"/>
        <v>117.96</v>
      </c>
      <c r="G229" s="72"/>
    </row>
    <row r="230" spans="1:8" s="6" customFormat="1" ht="14.25" customHeight="1" x14ac:dyDescent="0.2">
      <c r="A230" s="7"/>
      <c r="B230" s="7" t="s">
        <v>210</v>
      </c>
      <c r="C230" s="11">
        <v>9.44</v>
      </c>
      <c r="D230" s="8">
        <v>2</v>
      </c>
      <c r="E230" s="9">
        <f t="shared" si="33"/>
        <v>18.88</v>
      </c>
      <c r="G230" s="72">
        <v>2</v>
      </c>
    </row>
    <row r="231" spans="1:8" s="6" customFormat="1" ht="14.25" customHeight="1" x14ac:dyDescent="0.2">
      <c r="A231" s="7"/>
      <c r="B231" s="7" t="s">
        <v>211</v>
      </c>
      <c r="C231" s="11">
        <v>92.5</v>
      </c>
      <c r="D231" s="8">
        <v>4</v>
      </c>
      <c r="E231" s="9">
        <f t="shared" si="33"/>
        <v>370</v>
      </c>
      <c r="G231" s="72"/>
    </row>
    <row r="232" spans="1:8" s="6" customFormat="1" ht="14.25" customHeight="1" x14ac:dyDescent="0.2">
      <c r="A232" s="7"/>
      <c r="B232" s="7"/>
      <c r="C232" s="11"/>
      <c r="D232" s="8"/>
      <c r="E232" s="9">
        <f t="shared" si="33"/>
        <v>0</v>
      </c>
      <c r="G232" s="72"/>
    </row>
    <row r="233" spans="1:8" s="6" customFormat="1" ht="14.25" customHeight="1" x14ac:dyDescent="0.2">
      <c r="A233" s="16"/>
      <c r="B233" s="10" t="s">
        <v>212</v>
      </c>
      <c r="C233" s="46"/>
      <c r="D233" s="3"/>
      <c r="E233" s="9"/>
      <c r="G233" s="72"/>
    </row>
    <row r="234" spans="1:8" s="6" customFormat="1" ht="14.25" customHeight="1" x14ac:dyDescent="0.2">
      <c r="A234" s="41">
        <f>(Heads+D42+D147+D159)*65</f>
        <v>83915</v>
      </c>
      <c r="B234" s="7" t="s">
        <v>213</v>
      </c>
      <c r="C234" s="47">
        <f>922/2500</f>
        <v>0.36880000000000002</v>
      </c>
      <c r="D234" s="13">
        <v>120000</v>
      </c>
      <c r="E234" s="9">
        <f t="shared" ref="E234:E237" si="34">SUM(C234*D234)</f>
        <v>44256</v>
      </c>
      <c r="G234" s="72">
        <v>120000</v>
      </c>
    </row>
    <row r="235" spans="1:8" s="6" customFormat="1" ht="14.25" customHeight="1" x14ac:dyDescent="0.2">
      <c r="A235" s="41">
        <f>SUM(D66:D70)</f>
        <v>118700</v>
      </c>
      <c r="B235" s="10" t="s">
        <v>214</v>
      </c>
      <c r="C235" s="47"/>
      <c r="D235" s="13"/>
      <c r="E235" s="9">
        <f t="shared" si="34"/>
        <v>0</v>
      </c>
      <c r="G235" s="72"/>
    </row>
    <row r="236" spans="1:8" s="6" customFormat="1" ht="14.25" customHeight="1" x14ac:dyDescent="0.2">
      <c r="A236" s="41">
        <f>1425+5435+1550+3830+1015</f>
        <v>13255</v>
      </c>
      <c r="B236" s="7" t="s">
        <v>215</v>
      </c>
      <c r="C236" s="47">
        <f>1360/2500</f>
        <v>0.54400000000000004</v>
      </c>
      <c r="D236" s="13">
        <v>8500</v>
      </c>
      <c r="E236" s="9">
        <f t="shared" si="34"/>
        <v>4624</v>
      </c>
      <c r="G236" s="72">
        <v>8500</v>
      </c>
    </row>
    <row r="237" spans="1:8" s="6" customFormat="1" ht="14.25" customHeight="1" x14ac:dyDescent="0.2">
      <c r="A237" s="41">
        <f>1050+4040+2700+1800+2000</f>
        <v>11590</v>
      </c>
      <c r="B237" s="7" t="s">
        <v>216</v>
      </c>
      <c r="C237" s="47">
        <f>1360/2500</f>
        <v>0.54400000000000004</v>
      </c>
      <c r="D237" s="13">
        <v>12500</v>
      </c>
      <c r="E237" s="9">
        <f t="shared" si="34"/>
        <v>6800.0000000000009</v>
      </c>
      <c r="G237" s="72">
        <v>12000</v>
      </c>
    </row>
    <row r="238" spans="1:8" s="6" customFormat="1" ht="14.25" customHeight="1" x14ac:dyDescent="0.2">
      <c r="A238" s="7"/>
      <c r="B238" s="7" t="s">
        <v>227</v>
      </c>
      <c r="C238" s="11">
        <v>0.54400000000000004</v>
      </c>
      <c r="D238" s="8">
        <v>13500</v>
      </c>
      <c r="E238" s="9">
        <v>7344</v>
      </c>
      <c r="G238" s="72">
        <v>13500</v>
      </c>
    </row>
    <row r="239" spans="1:8" s="6" customFormat="1" ht="14.25" customHeight="1" x14ac:dyDescent="0.2">
      <c r="A239" s="7"/>
      <c r="B239" s="7"/>
      <c r="C239" s="11"/>
      <c r="D239" s="8"/>
      <c r="E239" s="9">
        <f>SUM(C239*D239)</f>
        <v>0</v>
      </c>
      <c r="G239" s="72"/>
    </row>
    <row r="240" spans="1:8" s="48" customFormat="1" ht="13.9" customHeight="1" x14ac:dyDescent="0.2">
      <c r="C240" s="11"/>
      <c r="D240" s="49"/>
      <c r="E240" s="50"/>
      <c r="G240" s="75"/>
    </row>
    <row r="241" spans="3:7" s="48" customFormat="1" ht="13.9" customHeight="1" x14ac:dyDescent="0.2">
      <c r="C241" s="11"/>
      <c r="D241" s="49"/>
      <c r="E241" s="50"/>
      <c r="G241" s="75"/>
    </row>
    <row r="242" spans="3:7" s="48" customFormat="1" ht="13.9" customHeight="1" x14ac:dyDescent="0.2">
      <c r="C242" s="11"/>
      <c r="D242" s="49"/>
      <c r="E242" s="50"/>
      <c r="G242" s="75"/>
    </row>
    <row r="243" spans="3:7" s="48" customFormat="1" ht="13.9" customHeight="1" x14ac:dyDescent="0.2">
      <c r="C243" s="11"/>
      <c r="D243" s="49"/>
      <c r="E243" s="50"/>
      <c r="G243" s="75"/>
    </row>
    <row r="244" spans="3:7" s="48" customFormat="1" ht="13.9" customHeight="1" x14ac:dyDescent="0.2">
      <c r="C244" s="11"/>
      <c r="D244" s="49"/>
      <c r="E244" s="50"/>
      <c r="G244" s="75"/>
    </row>
    <row r="245" spans="3:7" s="48" customFormat="1" ht="13.9" customHeight="1" x14ac:dyDescent="0.2">
      <c r="C245" s="11"/>
      <c r="D245" s="49"/>
      <c r="E245" s="50"/>
      <c r="G245" s="75"/>
    </row>
    <row r="246" spans="3:7" s="48" customFormat="1" ht="13.9" customHeight="1" x14ac:dyDescent="0.2">
      <c r="C246" s="11"/>
      <c r="D246" s="49"/>
      <c r="E246" s="50"/>
      <c r="G246" s="75"/>
    </row>
    <row r="247" spans="3:7" s="48" customFormat="1" ht="13.9" customHeight="1" x14ac:dyDescent="0.2">
      <c r="C247" s="11"/>
      <c r="D247" s="49"/>
      <c r="E247" s="50"/>
      <c r="G247" s="75"/>
    </row>
    <row r="248" spans="3:7" s="48" customFormat="1" ht="13.9" customHeight="1" x14ac:dyDescent="0.2">
      <c r="C248" s="11"/>
      <c r="D248" s="49"/>
      <c r="E248" s="50"/>
      <c r="G248" s="75"/>
    </row>
    <row r="249" spans="3:7" s="48" customFormat="1" ht="13.9" customHeight="1" x14ac:dyDescent="0.2">
      <c r="C249" s="11"/>
      <c r="D249" s="49"/>
      <c r="E249" s="50"/>
      <c r="G249" s="75"/>
    </row>
    <row r="250" spans="3:7" s="48" customFormat="1" ht="13.9" customHeight="1" x14ac:dyDescent="0.2">
      <c r="C250" s="11"/>
      <c r="D250" s="49"/>
      <c r="E250" s="50"/>
      <c r="G250" s="75"/>
    </row>
    <row r="251" spans="3:7" s="48" customFormat="1" ht="13.9" customHeight="1" x14ac:dyDescent="0.2">
      <c r="C251" s="11"/>
      <c r="D251" s="49"/>
      <c r="E251" s="50"/>
      <c r="G251" s="75"/>
    </row>
    <row r="252" spans="3:7" s="48" customFormat="1" ht="13.9" customHeight="1" x14ac:dyDescent="0.2">
      <c r="C252" s="11"/>
      <c r="D252" s="49"/>
      <c r="E252" s="50"/>
      <c r="G252" s="75"/>
    </row>
    <row r="253" spans="3:7" s="48" customFormat="1" ht="13.9" customHeight="1" x14ac:dyDescent="0.2">
      <c r="C253" s="11"/>
      <c r="D253" s="49"/>
      <c r="E253" s="50"/>
      <c r="G253" s="75"/>
    </row>
    <row r="254" spans="3:7" s="48" customFormat="1" ht="13.9" customHeight="1" x14ac:dyDescent="0.2">
      <c r="C254" s="11"/>
      <c r="D254" s="49"/>
      <c r="E254" s="50"/>
      <c r="G254" s="75"/>
    </row>
    <row r="255" spans="3:7" s="48" customFormat="1" ht="13.9" customHeight="1" x14ac:dyDescent="0.2">
      <c r="C255" s="11"/>
      <c r="D255" s="49"/>
      <c r="E255" s="50"/>
      <c r="G255" s="75"/>
    </row>
    <row r="256" spans="3:7" s="48" customFormat="1" ht="13.9" customHeight="1" x14ac:dyDescent="0.2">
      <c r="C256" s="11"/>
      <c r="D256" s="49"/>
      <c r="E256" s="50"/>
      <c r="G256" s="75"/>
    </row>
    <row r="257" spans="2:7" s="48" customFormat="1" ht="13.9" customHeight="1" x14ac:dyDescent="0.2">
      <c r="C257" s="11"/>
      <c r="D257" s="49"/>
      <c r="E257" s="50"/>
      <c r="G257" s="75"/>
    </row>
    <row r="258" spans="2:7" s="48" customFormat="1" ht="13.9" customHeight="1" x14ac:dyDescent="0.2">
      <c r="C258" s="11"/>
      <c r="D258" s="49"/>
      <c r="E258" s="50"/>
      <c r="G258" s="75"/>
    </row>
    <row r="259" spans="2:7" s="48" customFormat="1" ht="13.9" customHeight="1" x14ac:dyDescent="0.2">
      <c r="B259" s="48" t="s">
        <v>217</v>
      </c>
      <c r="C259" s="11"/>
      <c r="D259" s="49"/>
      <c r="E259" s="50"/>
      <c r="G259" s="75"/>
    </row>
    <row r="260" spans="2:7" s="48" customFormat="1" ht="13.9" customHeight="1" x14ac:dyDescent="0.2">
      <c r="C260" s="11"/>
      <c r="D260" s="49"/>
      <c r="E260" s="50"/>
      <c r="G260" s="75"/>
    </row>
    <row r="261" spans="2:7" s="48" customFormat="1" ht="13.9" customHeight="1" x14ac:dyDescent="0.2">
      <c r="B261" s="48" t="s">
        <v>218</v>
      </c>
      <c r="C261" s="11"/>
      <c r="D261" s="49"/>
      <c r="E261" s="50"/>
      <c r="G261" s="75"/>
    </row>
    <row r="262" spans="2:7" s="48" customFormat="1" ht="13.9" customHeight="1" x14ac:dyDescent="0.2">
      <c r="B262" s="48" t="s">
        <v>219</v>
      </c>
      <c r="C262" s="11"/>
      <c r="D262" s="49"/>
      <c r="E262" s="50"/>
      <c r="G262" s="75"/>
    </row>
    <row r="263" spans="2:7" s="48" customFormat="1" ht="13.9" customHeight="1" x14ac:dyDescent="0.2">
      <c r="C263" s="11"/>
      <c r="D263" s="49"/>
      <c r="E263" s="50"/>
      <c r="G263" s="75"/>
    </row>
    <row r="264" spans="2:7" s="48" customFormat="1" ht="13.9" customHeight="1" x14ac:dyDescent="0.2">
      <c r="B264" s="48" t="s">
        <v>220</v>
      </c>
      <c r="C264" s="11"/>
      <c r="D264" s="49"/>
      <c r="E264" s="50"/>
      <c r="G264" s="75"/>
    </row>
    <row r="265" spans="2:7" s="48" customFormat="1" ht="13.9" customHeight="1" x14ac:dyDescent="0.2">
      <c r="C265" s="11"/>
      <c r="D265" s="49"/>
      <c r="E265" s="50"/>
      <c r="G265" s="75"/>
    </row>
    <row r="266" spans="2:7" s="48" customFormat="1" ht="13.9" customHeight="1" x14ac:dyDescent="0.2">
      <c r="C266" s="11"/>
      <c r="D266" s="49"/>
      <c r="E266" s="50"/>
      <c r="G266" s="75"/>
    </row>
    <row r="267" spans="2:7" s="48" customFormat="1" ht="13.9" customHeight="1" x14ac:dyDescent="0.2">
      <c r="C267" s="11"/>
      <c r="D267" s="49"/>
      <c r="E267" s="50"/>
      <c r="G267" s="75"/>
    </row>
    <row r="268" spans="2:7" s="48" customFormat="1" ht="13.9" customHeight="1" x14ac:dyDescent="0.2">
      <c r="C268" s="11"/>
      <c r="D268" s="49"/>
      <c r="E268" s="50"/>
      <c r="G268" s="75"/>
    </row>
    <row r="269" spans="2:7" s="48" customFormat="1" ht="13.9" customHeight="1" x14ac:dyDescent="0.2">
      <c r="C269" s="11"/>
      <c r="D269" s="49"/>
      <c r="E269" s="50"/>
      <c r="G269" s="75"/>
    </row>
    <row r="270" spans="2:7" s="48" customFormat="1" ht="13.9" customHeight="1" x14ac:dyDescent="0.2">
      <c r="C270" s="11"/>
      <c r="D270" s="49"/>
      <c r="E270" s="50"/>
      <c r="G270" s="75"/>
    </row>
    <row r="271" spans="2:7" s="48" customFormat="1" ht="13.9" customHeight="1" x14ac:dyDescent="0.2">
      <c r="C271" s="11"/>
      <c r="D271" s="49"/>
      <c r="E271" s="50"/>
      <c r="G271" s="75"/>
    </row>
    <row r="272" spans="2:7" s="48" customFormat="1" ht="13.9" customHeight="1" x14ac:dyDescent="0.2">
      <c r="C272" s="11"/>
      <c r="D272" s="49"/>
      <c r="E272" s="50"/>
      <c r="G272" s="75"/>
    </row>
    <row r="273" spans="3:7" s="48" customFormat="1" ht="13.9" customHeight="1" x14ac:dyDescent="0.2">
      <c r="C273" s="11"/>
      <c r="D273" s="49"/>
      <c r="E273" s="50"/>
      <c r="G273" s="75"/>
    </row>
    <row r="274" spans="3:7" s="48" customFormat="1" ht="13.9" customHeight="1" x14ac:dyDescent="0.2">
      <c r="C274" s="11"/>
      <c r="D274" s="49"/>
      <c r="E274" s="50"/>
      <c r="G274" s="75"/>
    </row>
    <row r="275" spans="3:7" s="48" customFormat="1" ht="13.9" customHeight="1" x14ac:dyDescent="0.2">
      <c r="C275" s="11"/>
      <c r="D275" s="49"/>
      <c r="E275" s="50"/>
      <c r="G275" s="75"/>
    </row>
    <row r="276" spans="3:7" s="48" customFormat="1" ht="13.9" customHeight="1" x14ac:dyDescent="0.2">
      <c r="C276" s="11"/>
      <c r="D276" s="49"/>
      <c r="E276" s="50"/>
      <c r="G276" s="75"/>
    </row>
    <row r="277" spans="3:7" s="48" customFormat="1" ht="13.9" customHeight="1" x14ac:dyDescent="0.2">
      <c r="C277" s="11"/>
      <c r="D277" s="49"/>
      <c r="E277" s="50"/>
      <c r="G277" s="75"/>
    </row>
    <row r="278" spans="3:7" s="48" customFormat="1" ht="13.9" customHeight="1" x14ac:dyDescent="0.2">
      <c r="C278" s="11"/>
      <c r="D278" s="49"/>
      <c r="E278" s="50"/>
      <c r="G278" s="75"/>
    </row>
    <row r="279" spans="3:7" s="48" customFormat="1" ht="13.9" customHeight="1" x14ac:dyDescent="0.2">
      <c r="C279" s="11"/>
      <c r="D279" s="49"/>
      <c r="E279" s="50"/>
      <c r="G279" s="75"/>
    </row>
    <row r="280" spans="3:7" s="48" customFormat="1" ht="13.9" customHeight="1" x14ac:dyDescent="0.2">
      <c r="C280" s="11"/>
      <c r="D280" s="49"/>
      <c r="E280" s="50"/>
      <c r="G280" s="75"/>
    </row>
    <row r="281" spans="3:7" s="48" customFormat="1" ht="13.9" customHeight="1" x14ac:dyDescent="0.2">
      <c r="C281" s="11"/>
      <c r="D281" s="49"/>
      <c r="E281" s="50"/>
      <c r="G281" s="75"/>
    </row>
    <row r="282" spans="3:7" s="48" customFormat="1" ht="13.9" customHeight="1" x14ac:dyDescent="0.2">
      <c r="C282" s="11"/>
      <c r="D282" s="49"/>
      <c r="E282" s="50"/>
      <c r="G282" s="75"/>
    </row>
    <row r="283" spans="3:7" s="48" customFormat="1" ht="13.9" customHeight="1" x14ac:dyDescent="0.2">
      <c r="C283" s="11"/>
      <c r="D283" s="49"/>
      <c r="E283" s="50"/>
      <c r="G283" s="75"/>
    </row>
    <row r="284" spans="3:7" s="48" customFormat="1" ht="13.9" customHeight="1" x14ac:dyDescent="0.2">
      <c r="C284" s="11"/>
      <c r="D284" s="49"/>
      <c r="E284" s="50"/>
      <c r="G284" s="75"/>
    </row>
    <row r="285" spans="3:7" s="48" customFormat="1" ht="13.9" customHeight="1" x14ac:dyDescent="0.2">
      <c r="C285" s="11"/>
      <c r="D285" s="49"/>
      <c r="E285" s="50"/>
      <c r="G285" s="75"/>
    </row>
    <row r="286" spans="3:7" s="48" customFormat="1" ht="13.9" customHeight="1" x14ac:dyDescent="0.2">
      <c r="C286" s="11"/>
      <c r="D286" s="49"/>
      <c r="E286" s="50"/>
      <c r="G286" s="75"/>
    </row>
    <row r="287" spans="3:7" s="48" customFormat="1" ht="13.9" customHeight="1" x14ac:dyDescent="0.2">
      <c r="C287" s="11"/>
      <c r="D287" s="49"/>
      <c r="E287" s="50"/>
      <c r="G287" s="75"/>
    </row>
    <row r="288" spans="3:7" s="48" customFormat="1" ht="13.9" customHeight="1" x14ac:dyDescent="0.2">
      <c r="C288" s="11"/>
      <c r="D288" s="49"/>
      <c r="E288" s="50"/>
      <c r="G288" s="75"/>
    </row>
    <row r="289" spans="3:7" s="48" customFormat="1" ht="13.9" customHeight="1" x14ac:dyDescent="0.2">
      <c r="C289" s="11"/>
      <c r="D289" s="49"/>
      <c r="E289" s="50"/>
      <c r="G289" s="75"/>
    </row>
    <row r="290" spans="3:7" s="48" customFormat="1" ht="13.9" customHeight="1" x14ac:dyDescent="0.2">
      <c r="C290" s="11"/>
      <c r="D290" s="49"/>
      <c r="E290" s="50"/>
      <c r="G290" s="75"/>
    </row>
    <row r="291" spans="3:7" s="48" customFormat="1" ht="13.9" customHeight="1" x14ac:dyDescent="0.2">
      <c r="C291" s="11"/>
      <c r="D291" s="49"/>
      <c r="E291" s="50"/>
      <c r="G291" s="75"/>
    </row>
    <row r="292" spans="3:7" s="48" customFormat="1" ht="13.9" customHeight="1" x14ac:dyDescent="0.2">
      <c r="C292" s="11"/>
      <c r="D292" s="49"/>
      <c r="E292" s="50"/>
      <c r="G292" s="75"/>
    </row>
    <row r="293" spans="3:7" s="48" customFormat="1" ht="13.9" customHeight="1" x14ac:dyDescent="0.2">
      <c r="C293" s="11"/>
      <c r="D293" s="49"/>
      <c r="E293" s="50"/>
      <c r="G293" s="75"/>
    </row>
    <row r="294" spans="3:7" s="48" customFormat="1" ht="13.9" customHeight="1" x14ac:dyDescent="0.2">
      <c r="C294" s="11"/>
      <c r="D294" s="49"/>
      <c r="E294" s="50"/>
      <c r="G294" s="75"/>
    </row>
  </sheetData>
  <mergeCells count="1">
    <mergeCell ref="B1:C1"/>
  </mergeCells>
  <pageMargins left="0.36" right="0.37" top="0.5" bottom="1" header="0.5" footer="0.5"/>
  <pageSetup orientation="portrait" horizontalDpi="300" verticalDpi="300" r:id="rId1"/>
  <headerFooter alignWithMargins="0">
    <oddFooter>&amp;L&amp;"Arial Rounded MT Bold,Bold"&amp;8Confidential - Property of Leibold Irrigation, Inc.&amp;C&amp;"Arial,Bold"&amp;8Page &amp;P of &amp;N&amp;R&amp;"Arial,Bold"&amp;8&amp;D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10D29-7CCA-4342-8190-788EBC8BDC1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Stonetree </vt:lpstr>
      <vt:lpstr>'Stonetree '!Heads</vt:lpstr>
      <vt:lpstr>'Stonetree '!Heads_Number_Of</vt:lpstr>
      <vt:lpstr>'Stonetree '!MISCELLANEOUS</vt:lpstr>
      <vt:lpstr>'Stonetree '!OSMAC_Centrals</vt:lpstr>
      <vt:lpstr>'Stonetree '!Print_Area</vt:lpstr>
      <vt:lpstr>'Stonetree '!Print_Titles</vt:lpstr>
      <vt:lpstr>'Stonetree '!Quick_Coupling_Valves</vt:lpstr>
      <vt:lpstr>'Stonetree '!SiteProCentrals</vt:lpstr>
      <vt:lpstr>'Stonetree '!Tools</vt:lpstr>
      <vt:lpstr>'Stonetree '!Wire_Accessories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Hubbard</dc:creator>
  <cp:lastModifiedBy>Phil Hart</cp:lastModifiedBy>
  <dcterms:created xsi:type="dcterms:W3CDTF">2025-12-09T05:45:15Z</dcterms:created>
  <dcterms:modified xsi:type="dcterms:W3CDTF">2026-02-02T17:19:46Z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{BD110D29-7CCA-4342-8190-788EBC8BDC18}</vt:lpwstr>
  </property>
</Properties>
</file>